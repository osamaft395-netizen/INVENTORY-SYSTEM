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F52C52A-A17B-41AC-9F1C-1FE1828B47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8" i="1" l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G327" i="1"/>
  <c r="G328" i="1"/>
  <c r="G301" i="1"/>
  <c r="G232" i="1"/>
  <c r="G61" i="1" l="1"/>
  <c r="G308" i="1"/>
  <c r="G53" i="1"/>
  <c r="G58" i="1"/>
  <c r="G57" i="1"/>
  <c r="G22" i="1"/>
  <c r="F22" i="2" l="1"/>
  <c r="F19" i="2"/>
  <c r="F17" i="2"/>
  <c r="F16" i="2"/>
  <c r="F15" i="2"/>
  <c r="F14" i="2"/>
  <c r="F13" i="2"/>
  <c r="F12" i="2"/>
  <c r="F11" i="2"/>
  <c r="F10" i="2"/>
  <c r="F9" i="2"/>
  <c r="F8" i="2"/>
  <c r="F7" i="2"/>
  <c r="F6" i="2"/>
  <c r="G425" i="1" l="1"/>
  <c r="G424" i="1"/>
  <c r="G423" i="1"/>
  <c r="G422" i="1"/>
  <c r="G408" i="1"/>
  <c r="G333" i="1"/>
  <c r="G332" i="1"/>
  <c r="G329" i="1"/>
  <c r="G324" i="1"/>
  <c r="G321" i="1"/>
  <c r="G312" i="1"/>
  <c r="G311" i="1"/>
  <c r="G310" i="1"/>
  <c r="G309" i="1"/>
  <c r="G307" i="1"/>
  <c r="G305" i="1"/>
  <c r="G303" i="1"/>
  <c r="G302" i="1"/>
  <c r="G297" i="1"/>
  <c r="G274" i="1"/>
  <c r="G273" i="1"/>
  <c r="G253" i="1"/>
  <c r="G248" i="1"/>
  <c r="G247" i="1"/>
  <c r="G239" i="1"/>
  <c r="G238" i="1"/>
  <c r="G237" i="1"/>
  <c r="G236" i="1"/>
  <c r="G235" i="1"/>
  <c r="G233" i="1"/>
  <c r="G231" i="1"/>
  <c r="G230" i="1"/>
  <c r="G229" i="1"/>
  <c r="G228" i="1"/>
  <c r="G227" i="1"/>
  <c r="G226" i="1"/>
  <c r="G225" i="1"/>
  <c r="G224" i="1"/>
  <c r="G220" i="1"/>
  <c r="G76" i="1"/>
  <c r="G74" i="1"/>
  <c r="G64" i="1"/>
  <c r="G63" i="1"/>
  <c r="G62" i="1"/>
  <c r="G60" i="1"/>
  <c r="G51" i="1"/>
  <c r="G50" i="1"/>
  <c r="G49" i="1"/>
  <c r="G44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<sst xmlns="http://schemas.openxmlformats.org/spreadsheetml/2006/main" count="525" uniqueCount="511">
  <si>
    <t xml:space="preserve">SCALPVEN </t>
  </si>
  <si>
    <t xml:space="preserve">18 CELLS TUBULAR AIR MATTRESS </t>
  </si>
  <si>
    <t>MATTRESS WGP012</t>
  </si>
  <si>
    <t xml:space="preserve">2 -WAY LATEX FOLEY BALLONE CATHETER 12 FR </t>
  </si>
  <si>
    <t>2-WAY LATEX FOLEY BALLONE CATHETER 14 FR</t>
  </si>
  <si>
    <t>2-WAY LATEX FOLEY BALLONE CATHETER 16FR</t>
  </si>
  <si>
    <t>2-WAY LATEX FOLEY BALLONE CATHETER 20FR</t>
  </si>
  <si>
    <t>2-WAY LATEX FOLEY BALLONE CATHETER 22FR</t>
  </si>
  <si>
    <t>AIR WAY GUEDEL 3FR</t>
  </si>
  <si>
    <t>AIR WAY GUEDEL 4FR</t>
  </si>
  <si>
    <t>AIR WAY GUEDEL 5FR</t>
  </si>
  <si>
    <t>AIR WAY GUEDEL 6FR</t>
  </si>
  <si>
    <t>SYRINGE 1ML</t>
  </si>
  <si>
    <t>INSULIN SYRINGE 1ML</t>
  </si>
  <si>
    <t>SYRINGE 5ML</t>
  </si>
  <si>
    <t xml:space="preserve">NEEDLE 22G </t>
  </si>
  <si>
    <t>NEEDLE 23G</t>
  </si>
  <si>
    <t>NEEDLE 19FR</t>
  </si>
  <si>
    <t>NEEDLE 20FR</t>
  </si>
  <si>
    <t>NEEDLE 21FR</t>
  </si>
  <si>
    <t>NEEDLE 22FR</t>
  </si>
  <si>
    <t>NEEDLE 23FR</t>
  </si>
  <si>
    <t>TRACHOSTOMY TUBE 3.0 UNCUFFED</t>
  </si>
  <si>
    <t>TRACHOSTOMY TUBE 3.5 UNCUFFED</t>
  </si>
  <si>
    <t>TRACHOSTOMY TUBE 4.0 UNCUFFED</t>
  </si>
  <si>
    <t>TRACHOSTOMY TUBE 4.5 UNCUFFED</t>
  </si>
  <si>
    <t>TRACHOSTOMY TUBE 5.0 UNCUFFED</t>
  </si>
  <si>
    <t>TRACHOSTOMY TUBE 5.5 UNCUFFED</t>
  </si>
  <si>
    <t>TRACHOSTOMY TUBE 6.0 UNCUFFED</t>
  </si>
  <si>
    <t>TRACHOSTOMY TUBE 5.0 CUFFED</t>
  </si>
  <si>
    <t xml:space="preserve">TRACHOSTOMY TUBE 5.5 CUFFED </t>
  </si>
  <si>
    <t>TRACHOSTOMY TUBE 6.0 CUFFED</t>
  </si>
  <si>
    <t>TRACHOSTOMY TUBE 6.5 CUFFED</t>
  </si>
  <si>
    <t>TRACHOSTOMY TUBE 7.0 CUFFED</t>
  </si>
  <si>
    <t>MEDICAL PROTECTIVE GOWN</t>
  </si>
  <si>
    <t xml:space="preserve"> MANUAL RESUSCITATOR (SEBS-ADULT)</t>
  </si>
  <si>
    <t>MANUAL RESUSCITATOR (PVC-ADULT)</t>
  </si>
  <si>
    <t xml:space="preserve">MANUAL RESUSCITATOR (SILICON-CHILD)          </t>
  </si>
  <si>
    <t>MANUAL RESUSCITATOR (PVC-CHILD)</t>
  </si>
  <si>
    <t xml:space="preserve"> MANUAL RESUSCITATOR (SILICON-ADULT)</t>
  </si>
  <si>
    <t xml:space="preserve"> MANUAL RESUSCITATOR (SEBS-CHILD)</t>
  </si>
  <si>
    <t>TUBULAR AIR MATTRESS</t>
  </si>
  <si>
    <t>BUBBLE MATTRESS</t>
  </si>
  <si>
    <t>STETHOSCOPE</t>
  </si>
  <si>
    <t>LARYNGEAL MASK AIRWAY</t>
  </si>
  <si>
    <t>STERILE URETHRAL CATHETERS NELATON PVC</t>
  </si>
  <si>
    <t>PLASTER BANDAGE 20CM</t>
  </si>
  <si>
    <t>PLASTER BANDAGE 15CM</t>
  </si>
  <si>
    <t>PLASTER BANDAGE 10CM</t>
  </si>
  <si>
    <t>PLASTER BANDAGE 7.5CM</t>
  </si>
  <si>
    <t>PLASTER BANDAGE 5CM</t>
  </si>
  <si>
    <t>STERILE INFUSION WITH AIR INLET</t>
  </si>
  <si>
    <t>STERILE INFUSION WITH Y-SITE</t>
  </si>
  <si>
    <t xml:space="preserve"> STERILE TRANSFUSION SET</t>
  </si>
  <si>
    <t>PROTECTIVE GOGGLES</t>
  </si>
  <si>
    <t>FACE SHIELD</t>
  </si>
  <si>
    <t>LATEX T-DRAINAGE TUBE 24FR</t>
  </si>
  <si>
    <t>LATEX T-DRAINAGE TUBE 22FR</t>
  </si>
  <si>
    <t>LATEX T-DRAINAGE TUBE 20FR</t>
  </si>
  <si>
    <t>LATEX T-DRAINAGE TUBE 18FR</t>
  </si>
  <si>
    <t>LATEX T-DRAINAGE TUBE 16FR</t>
  </si>
  <si>
    <t>LATEX T-DRAINAGE TUBE 14FR</t>
  </si>
  <si>
    <t>LATEX T-DRAINAGE TUBE 12FR</t>
  </si>
  <si>
    <t>LATEX T-DRAINAGE TUBE 10FR</t>
  </si>
  <si>
    <t>LATEX T-DRAINAGE TUBE 8FR</t>
  </si>
  <si>
    <t>FORDABLE STRETCHER</t>
  </si>
  <si>
    <t>LATEX SURGICAL GLOVE 8.5</t>
  </si>
  <si>
    <t>LATEX SURGICAL GLOVE 8.0</t>
  </si>
  <si>
    <t>ALL SILICON FOLEY CATHETER 24FR</t>
  </si>
  <si>
    <t>ALL SILICON FOLEY CATHETER 22FR</t>
  </si>
  <si>
    <t>ALL SILICON FOLEY CATHETER 10FR</t>
  </si>
  <si>
    <t>ALL SILICON FOLEY CATHETER 8FR</t>
  </si>
  <si>
    <t>ALL SILICON FOLEY CATHETER 6FR</t>
  </si>
  <si>
    <t>VACUUM MATRESS STRETCHER</t>
  </si>
  <si>
    <t>REINFORCED UNCUFFED 10MM</t>
  </si>
  <si>
    <t>REINFORCED UNCUFFED 9.5MM</t>
  </si>
  <si>
    <t>REINFORCED UNCUFFED 9.0MM</t>
  </si>
  <si>
    <t>REINFORCED UNCUFFED 8.5MM</t>
  </si>
  <si>
    <t>REINFORCED UNCUFFED 8.0MM</t>
  </si>
  <si>
    <t>REINFORCED UNCUFFED 7.0MM</t>
  </si>
  <si>
    <t>REINFORCED UNCUFFED 6.5MM</t>
  </si>
  <si>
    <t>REINFORCED UNCUFFED 6.0MM</t>
  </si>
  <si>
    <t>REINFORCED UNCUFFED 5.5MM</t>
  </si>
  <si>
    <t>REINFORCED UNCUFFED 5.0MM</t>
  </si>
  <si>
    <t>REINFORCED UNCUFFED 4.5MM</t>
  </si>
  <si>
    <t>REINFORCED UNCUFFED 4.0MM</t>
  </si>
  <si>
    <t>REINFORCED UNCUFFED 3.5MM</t>
  </si>
  <si>
    <t>REINFORCED UNCUFFED 3.0MM</t>
  </si>
  <si>
    <t>REINFORCED UNCUFFED 2.5MM</t>
  </si>
  <si>
    <t>ENDOTRACHEAL NASAL CUFFED 10MM</t>
  </si>
  <si>
    <t>ENDOTRACHEAL NASAL CUFFED 9.5MM</t>
  </si>
  <si>
    <t>ENDOTRACHEAL NASAL CUFFED 9.0MM</t>
  </si>
  <si>
    <t>ENDOTRACHEAL NASAL CUFFED 8.5MM</t>
  </si>
  <si>
    <t>ENDOTRACHEAL NASAL CUFFED 8.0MM</t>
  </si>
  <si>
    <t>ENDOTRACHEAL NASAL CUFFED 7.5MM</t>
  </si>
  <si>
    <t>ENDOTRACHEAL NASAL CUFFED 7.0MM</t>
  </si>
  <si>
    <t>ENDOTRACHEAL NASAL CUFFED 6.5MM</t>
  </si>
  <si>
    <t>ENDOTRACHEAL NASAL CUFFED 6.0MM</t>
  </si>
  <si>
    <t>ENDOTRACHEAL NASAL CUFFED 5.5MM</t>
  </si>
  <si>
    <t>ENDOTRACHEAL NASAL CUFFED 5.0MM</t>
  </si>
  <si>
    <t>ENDOTRACHEAL NASAL CUFFED 4.5MM</t>
  </si>
  <si>
    <t>ENDOTRACHEAL NASAL CUFFED 4.0MM</t>
  </si>
  <si>
    <t>MEDICAL BUCKEL TOURNIQUET</t>
  </si>
  <si>
    <t>ENDOTRACHEAL TUBE UNCUFFED 10MM</t>
  </si>
  <si>
    <t>ENDOTRACHEAL TUBE UNCUFFED 9.5MM</t>
  </si>
  <si>
    <t>ENDOTRACHEAL TUBE UNCUFFED 9.0MM</t>
  </si>
  <si>
    <t>ENDOTRACHEAL TUBE UNCUFFED 8.5MM</t>
  </si>
  <si>
    <t>ENDOTRACHEAL TUBE UNCUFFED 8.0MM</t>
  </si>
  <si>
    <t>ENDOTRACHEAL TUBE UNCUFFED 7.5MM</t>
  </si>
  <si>
    <t xml:space="preserve">ENDOTRACHEAL TUBE UNCUFFED 7.0MM </t>
  </si>
  <si>
    <t>ENDOTRACHEAL TUBE UNCUFFED 6.5MM</t>
  </si>
  <si>
    <t>ENDOTRACHEAL TUBE UNCUFFED 6.0MM</t>
  </si>
  <si>
    <t>ENDOTRACHEAL TUBE UNCUFFED 5.5MM</t>
  </si>
  <si>
    <t>ENDOTRACHEAL TUBE UNCUFFED 5.0MM</t>
  </si>
  <si>
    <t>ENDOTRACHEAL TUBE UNCUFFED 4.5MM</t>
  </si>
  <si>
    <t>ENDOTRACHEAL TUBE UNCUFFED 4.0MM</t>
  </si>
  <si>
    <t>ENDOTRACHEAL TUBE UNCUFFED 3.5MM</t>
  </si>
  <si>
    <t>ENDOTRACHEAL TUBE UNCUFFED 3.0MM</t>
  </si>
  <si>
    <t>ENDOTRACHEAL TUBE UNCUFFED 2.5MM</t>
  </si>
  <si>
    <t>ENDOTRACHEAL TUBE UNCUFFED 2.0MM</t>
  </si>
  <si>
    <t>ENDOTRACHEAL TUBE CUFFED 10MM</t>
  </si>
  <si>
    <t>ENDOTRACHEAL TUBE CUFFED 9.5MM</t>
  </si>
  <si>
    <t>ENDOTRACHEAL TUBE CUFFED 9.0MM</t>
  </si>
  <si>
    <t>ENDOTRACHEAL TUBE CUFFED 8.5MM</t>
  </si>
  <si>
    <t>ENDOTRACHEAL TUBE CUFFED 8.0MM</t>
  </si>
  <si>
    <t>ENDOTRACHEAL TUBE CUFFED 7.5MM</t>
  </si>
  <si>
    <t>ENDOTRACHEAL TUBE CUFFED 7.0MM</t>
  </si>
  <si>
    <t>ENDOTRACHEAL TUBE  CUFFED 6.5MM</t>
  </si>
  <si>
    <t>ENDOTRACHEAL TUBE CUFFED 6.0MM</t>
  </si>
  <si>
    <t>ENDOTRACHEAL TUBE CUFFED 5.5MM</t>
  </si>
  <si>
    <t>ENDOTRACHEAL TUBE CUFFED 5.0MM</t>
  </si>
  <si>
    <t>ENDOTRACHEAL TUBE CUFFED 4.5MM</t>
  </si>
  <si>
    <t>ENDOTRACHEAL TUBE CUFFED 4.0MM</t>
  </si>
  <si>
    <t>ENDOTRACHEAL TUBE CUFFED 3.5MM</t>
  </si>
  <si>
    <t>ENDOTRACHEAL TUBE CUFFED 3.0MM</t>
  </si>
  <si>
    <t>TEGADERM TRANSPARENT 6CM*7CM</t>
  </si>
  <si>
    <t>TEGADERM FILM 10CM*12CM</t>
  </si>
  <si>
    <t>TEGADERM PAD 9CM*20CM</t>
  </si>
  <si>
    <t>TEGADERM PAD 9CM*15CM</t>
  </si>
  <si>
    <t>MAVERICK MONORAIL DILATATION 3.0*12MM</t>
  </si>
  <si>
    <t>MAVERICK MONORAIL DILATATION 3.0*20MM</t>
  </si>
  <si>
    <t>MAVERICK MONORAIL DILATATION 2.5*15MM</t>
  </si>
  <si>
    <t>MAVERICK MONORAIL DILATATION 3.0*15MM</t>
  </si>
  <si>
    <t>MAVERICK MONORAIL DILATATION 3.5*15MM</t>
  </si>
  <si>
    <t>MAVERICK MONORAIL DILATATION 2.5*12MM</t>
  </si>
  <si>
    <t>MAVERICK MONORAIL DILATATION 1.5*15MM</t>
  </si>
  <si>
    <t>MAVERICK MONORAIL DILATATION 3.5*12MM</t>
  </si>
  <si>
    <t>GORE TEX CARDIVASCULAR PATCH 3.0*6.0*0.4MM</t>
  </si>
  <si>
    <t>MINI TREK CORONARY DILATATION 1.50*15</t>
  </si>
  <si>
    <t>MINI TREK CORONARY DILATATION 1.50*12</t>
  </si>
  <si>
    <t>MINI TREK CORONARY DILATATION 1.20*20</t>
  </si>
  <si>
    <t>MINI TREK CORONARY DILATATION 1.20*12</t>
  </si>
  <si>
    <t>MINI TREK CORONARY DILATATION 1.20*15</t>
  </si>
  <si>
    <t>NC TREK CORONARY DILATATION 3.0*15</t>
  </si>
  <si>
    <t>NC TREK CORONARY DILATATION 3.50*15</t>
  </si>
  <si>
    <t>NC TREK CORONARY DILATATION 4.0*12</t>
  </si>
  <si>
    <t>NC TREK CORONARY DILATATION 2.50*12</t>
  </si>
  <si>
    <t>TREK CORONARY DILATATION 2.50*12</t>
  </si>
  <si>
    <t>TREK CORONARY DILATATION 3.50*12</t>
  </si>
  <si>
    <t>TREK CORONARY DILATATION 3.0*12</t>
  </si>
  <si>
    <t>TREK CORONARY DILATATION 3.0*15</t>
  </si>
  <si>
    <t>TREK CORONARY DILATATION 3.0*20</t>
  </si>
  <si>
    <t>BALANCE MIDDLEWEIGHT UNUVERSAL 2 190CM</t>
  </si>
  <si>
    <t>XIENCE PRO EVEROLIMUS ELUTING 3.0*33</t>
  </si>
  <si>
    <t>XIENCE PRO EVEROLIMUS ELUTING 3.0*23</t>
  </si>
  <si>
    <t>XIENCE PRO EVEROLIMUS ELUTING 3.0*12</t>
  </si>
  <si>
    <t>XIENCE PRO EVEROLIMUS ELUTING 3.0*18</t>
  </si>
  <si>
    <t>XIENCE PRO EVEROLIMUS ELUTING 3.5*12</t>
  </si>
  <si>
    <t>XIENCE PRO EVEROLIMUS ELUTING 4.0*23</t>
  </si>
  <si>
    <t>XIENCE PRO EVEROLIMUS ELUTING 3.5*33</t>
  </si>
  <si>
    <t>XIENCE PRO EVEROLIMUS ELUTING 4.0*18</t>
  </si>
  <si>
    <t>XIENCE PRO EVEROLIMUS ELUTING 3.5*28</t>
  </si>
  <si>
    <t>XIENCE PRO EVEROLIMUS ELUTING 2.75*33</t>
  </si>
  <si>
    <t>XIENCE PRO EVEROLIMUS ELUTING 4.0*12</t>
  </si>
  <si>
    <t>XIENCE PRO EVEROLIMUS ELUTING 4.0*28</t>
  </si>
  <si>
    <t>WOLVERINE CORONARY CUTTING 3.0*10</t>
  </si>
  <si>
    <t>WOLVERINE CORONARY CUTTING 2.0*10</t>
  </si>
  <si>
    <t>WOLVERINE CORONARY CUTTING 4.0*6</t>
  </si>
  <si>
    <t>WOLVERINE CORONARY CUTTING 2.50*10</t>
  </si>
  <si>
    <t>WOLVERINE CORONARY CUTTING 2.50*15</t>
  </si>
  <si>
    <t>WOLVERINE CORONARY CUTTING 3.0*6</t>
  </si>
  <si>
    <t>WOLVERINE CORONARY CUTTING 3.50*6</t>
  </si>
  <si>
    <t>WOLVERINE CORONARY CUTTING 2.0*6</t>
  </si>
  <si>
    <t>WOLVERINE CORONARY CUTTING 2.0*15</t>
  </si>
  <si>
    <t>WOLVERINE CORONARY CUTTING 3.50*10</t>
  </si>
  <si>
    <t>WOLVERINE CORONARY CUTTING 2.50*6</t>
  </si>
  <si>
    <t>WOLVERINE CORONARY CUTTING 3.50*15</t>
  </si>
  <si>
    <t>WOLVERINE CORONARY CUTTING 4.0*15</t>
  </si>
  <si>
    <t>WOLVERINE CORONARY CUTTING 4.0*10</t>
  </si>
  <si>
    <t>WOLVERINE CORONARY CUTTING 3.0*15</t>
  </si>
  <si>
    <t>EXPORT AP ASPIRATION CATHETER 6FR*20M</t>
  </si>
  <si>
    <t>NC MONORAIL PTCA DILATATION 3.0*12</t>
  </si>
  <si>
    <t>NC MONORAIL PTCA DILATATION 3.5*15</t>
  </si>
  <si>
    <t>NC MONORAIL PTCA DILATATION 2.5*12</t>
  </si>
  <si>
    <t>LAUNCHER GUIDE CATHETER 6FR</t>
  </si>
  <si>
    <t xml:space="preserve">LAUNCHER GUIDE CATHETER 7FR </t>
  </si>
  <si>
    <t>LAUNCHER GUIDE CATHETER 8FR</t>
  </si>
  <si>
    <t>RADIFOCUS OPTITORQUE RADIAL TIG 5FR</t>
  </si>
  <si>
    <t>3DRC 100CM SF-1.65M CATHETER</t>
  </si>
  <si>
    <t>DIAGNOSTIC CATHETER 100CM*1.5M CATHETER</t>
  </si>
  <si>
    <t>LAUNCHER GUIDE CATHETER 0.071 6FR</t>
  </si>
  <si>
    <t>DIPOSABLE SYRINGES 20ML</t>
  </si>
  <si>
    <t>DIPOSABLE SYRINGES 10ML</t>
  </si>
  <si>
    <t>DIPOSABLE SYRINGES 3ML</t>
  </si>
  <si>
    <t>DIPOSABLE SYRINGES 60ML</t>
  </si>
  <si>
    <t>DIPOSABLE SYRINGES 1ML</t>
  </si>
  <si>
    <t>STERILE NON-WOVEN SWAB</t>
  </si>
  <si>
    <t xml:space="preserve">VIGINAL SPECULUM M </t>
  </si>
  <si>
    <t>VIGINAL SPECULUM L</t>
  </si>
  <si>
    <t>WEGO CANNULA WITH WINGS 24G</t>
  </si>
  <si>
    <t>WEGO CANNULA WITH WINGS 22G</t>
  </si>
  <si>
    <t>WEGO CANNULA WITH WINGS 20G</t>
  </si>
  <si>
    <t>WEGO CANNULA WITH WINGS 18G</t>
  </si>
  <si>
    <t>IV CATHETER WITH INJECTION 24G</t>
  </si>
  <si>
    <t>IV CATHETER WITH INJECTION 22G</t>
  </si>
  <si>
    <t>IV CATHETER WITH INJECTION 20G</t>
  </si>
  <si>
    <t>IV CATHETER WITH INJECTION 18G</t>
  </si>
  <si>
    <t>IV CATHETER SINGLE PEN TYPE 24G</t>
  </si>
  <si>
    <t>IV CATHETER SINGLE PEN TYPE 22G</t>
  </si>
  <si>
    <t>IV CATHETER SINGLE PEN TYPE 20G</t>
  </si>
  <si>
    <t>IV CATHETER SINGLE PEN TYPE 18G</t>
  </si>
  <si>
    <t>STERILE FEEDING TUBE FR10</t>
  </si>
  <si>
    <t>STERILE FEEDING TUBE FR5</t>
  </si>
  <si>
    <t>OLYMPUS TUBING 2M SINGLE</t>
  </si>
  <si>
    <t>ECC INJECT 19 GAUGE LENGHT 4MM</t>
  </si>
  <si>
    <t>CHEST DRAINAGE CATHETER WITH TROCAR 12FR</t>
  </si>
  <si>
    <t>CHEST DRAINAGE CATHETER WITH TROCAR 14FR</t>
  </si>
  <si>
    <t xml:space="preserve">DISPOSABLE ELECTRO SURGICAL SNARE </t>
  </si>
  <si>
    <t>SINGLE USE RELOADABLE CLIP APPLICATOR</t>
  </si>
  <si>
    <t>PRELOADED SPHINCTEROTOME V 2700*0.25inch</t>
  </si>
  <si>
    <t>3-LUMEN SPHINCTEROTOME V 1700-24M 5.5FR</t>
  </si>
  <si>
    <t>BILLARY DRAINAGE STENT V 1900-37M 10FR</t>
  </si>
  <si>
    <t xml:space="preserve">RETRIEVAL BASKET V 1900-28M 7FR </t>
  </si>
  <si>
    <t>BILLARY DRAINAGE STENT V 1900-32M 7FR</t>
  </si>
  <si>
    <t>SINGLE USE CANNULA V 1950-22M 4FR</t>
  </si>
  <si>
    <t>3-LUMEN EXTRACTION BALLOON V 1900-28 4FR</t>
  </si>
  <si>
    <t>DISPOSABLE ELECTRONIC HYSTEROSCOPE</t>
  </si>
  <si>
    <t>URINAL BATTLE FEMALE</t>
  </si>
  <si>
    <t>ELASTIC NET BANDAGE 5.5CM*25M</t>
  </si>
  <si>
    <t>TUBULAR BANDAGE 7.5CM*10M</t>
  </si>
  <si>
    <t>BOOSTER STARTER KIT CUSMETIC</t>
  </si>
  <si>
    <t>DISPOSABLE CIRCULAR STAPLIERS BIG</t>
  </si>
  <si>
    <t>DISPOSABLE LINER STAPLIERS SMALL</t>
  </si>
  <si>
    <t>CAMERA SLEEVE</t>
  </si>
  <si>
    <t>ANESTHESIA LARYNGOSCOPE SET L</t>
  </si>
  <si>
    <t>ANESTHESIA LARYNGOSCOPE SET S</t>
  </si>
  <si>
    <t>ENDOSCOPE RETRIEVAL BAGS</t>
  </si>
  <si>
    <t>NEBULIZER KIT CHAMBER T PIECE AND TUBING</t>
  </si>
  <si>
    <t xml:space="preserve">NEBULIZER MOUTHPIECE TUBING </t>
  </si>
  <si>
    <t>HAEMODIALYSIS CATHETER KIT 14FR*16CM</t>
  </si>
  <si>
    <t>HAEMODIALYSIS CATHETER KIT 14FR*20CM</t>
  </si>
  <si>
    <t>HAEMODIALYSIS CATHETER KIT 15FR*23CM</t>
  </si>
  <si>
    <t>HAEMODIALYSIS CATHETER KIT 15FR*19CN</t>
  </si>
  <si>
    <t>HAEMODIALYSIS CATHETER KIT 12FR*16CM</t>
  </si>
  <si>
    <t>CENTRAL VENOUS CATHETER KIT 4FR*13CM</t>
  </si>
  <si>
    <t>CENTRAL VENOUS CATHETER KIT 5FR*13CM</t>
  </si>
  <si>
    <t>DRAINAGE CATHETER 12FR*50CM</t>
  </si>
  <si>
    <t>VADI G-329000</t>
  </si>
  <si>
    <t>REUSABLE BREATHING CIRCUIT (CHILD/INFANT)</t>
  </si>
  <si>
    <t xml:space="preserve">MEDAL HEADLIGHT LED </t>
  </si>
  <si>
    <t>FISTULA NEEDLE 16G*25M FIXED WING</t>
  </si>
  <si>
    <t>ALCOHOL PAD 6*3CM</t>
  </si>
  <si>
    <t xml:space="preserve">SINGLE DIGITAL FLEXIBLE URETEROSCOPE </t>
  </si>
  <si>
    <t>RADIAL ARTERY COMPRESSION DEVICE</t>
  </si>
  <si>
    <t xml:space="preserve">SPUTUM CUP </t>
  </si>
  <si>
    <t>CPAP MASK PVC (M)</t>
  </si>
  <si>
    <t>CPAP MASK PVC (L)</t>
  </si>
  <si>
    <t>INTRODUCTOR FOR KARDIO 6FR*23CM</t>
  </si>
  <si>
    <t>INTRODUCTOR FOR KARDIO 5FR*23CM</t>
  </si>
  <si>
    <t>STERILE AMNIOTIC MEMBRANE PERFORATOR</t>
  </si>
  <si>
    <t>NEBULIZER MASK PEDIATRIC ELONGATED</t>
  </si>
  <si>
    <t>OSTMOPEDIC COTTON BANDAGE 5CM</t>
  </si>
  <si>
    <t>OSTMOPEDIC COTTON BANDAGE 7.5CM</t>
  </si>
  <si>
    <t>2D WIRELESS BARCODE SCANNER</t>
  </si>
  <si>
    <t>SURGICAL SCRUB BRUSH (1EACH SINGLE)</t>
  </si>
  <si>
    <t xml:space="preserve">DENTAL NEEDLES 27*21MM </t>
  </si>
  <si>
    <t>DENTAL NEEDLES 27*38MM</t>
  </si>
  <si>
    <t>HIGH DEFENATION HANDLE PROTECTIVE COVER</t>
  </si>
  <si>
    <t>THD SLIDE FAST</t>
  </si>
  <si>
    <t>ELECTRONIC BABY SCALE</t>
  </si>
  <si>
    <t xml:space="preserve">NELATON CATHETER LATEX </t>
  </si>
  <si>
    <t>SINGLE USE SURGICAL GOWN</t>
  </si>
  <si>
    <t>SPARADRAP ADHESIVE TAPE 2.5CM*5M</t>
  </si>
  <si>
    <t>INRODUCER SET 7FR*11CM</t>
  </si>
  <si>
    <t>INRODUCER SET 8FR*11CM</t>
  </si>
  <si>
    <t>INRODUCER SET 6FR*11CM</t>
  </si>
  <si>
    <t>INRODUCER SET 5FR*11CM</t>
  </si>
  <si>
    <t>DISPOSABLE PRESSURE TRANSDUCER ONE WAY</t>
  </si>
  <si>
    <t>DISPOSABLE SUCTION CATHETER 12FR*50CM</t>
  </si>
  <si>
    <t>DISPOSABLE SUCTION CATHETER 14FR*50CM</t>
  </si>
  <si>
    <t>BLOOD PRESSURE TRANSDUCER UTAH CONNECT</t>
  </si>
  <si>
    <t>FISTULA NEEDLE 16*25CM-300MM</t>
  </si>
  <si>
    <t>INFUSION EXTENSION TUBES 2.7M*10CM</t>
  </si>
  <si>
    <t xml:space="preserve">EPIDURA ANESTHESIA KIT III 18*80CM </t>
  </si>
  <si>
    <t>DISPOSABLE PRESSURE TRANSDUCER</t>
  </si>
  <si>
    <t>NON-WOVEN STRIP CAP HEAD CAP</t>
  </si>
  <si>
    <t xml:space="preserve">SLIPPERS </t>
  </si>
  <si>
    <t xml:space="preserve">JIKE DISPOSABLE HEATER </t>
  </si>
  <si>
    <t>PLASTER-NON WEOVEN TAPE 10 CM</t>
  </si>
  <si>
    <t>NON REBREATHING MASK (L)</t>
  </si>
  <si>
    <t>NON REBREATHING MASK (S)</t>
  </si>
  <si>
    <t>DENTAL COTTON ROLL</t>
  </si>
  <si>
    <t xml:space="preserve">ECG-ELECTRODE </t>
  </si>
  <si>
    <t>INFANT OXYGEN HOOP</t>
  </si>
  <si>
    <t>LOW-PRESSURE ASPIRATOR</t>
  </si>
  <si>
    <t>INFANT HEAD FIXING UNIT</t>
  </si>
  <si>
    <t>MESH NEBULIZER</t>
  </si>
  <si>
    <t>HIGH PRESSURE SYRINGE 200ML</t>
  </si>
  <si>
    <t>ASTHMA SPACER (M) CHILD</t>
  </si>
  <si>
    <t>DIGITAL THERMOMITER</t>
  </si>
  <si>
    <t>BANDAGE SPASM</t>
  </si>
  <si>
    <t>INFUSION SET WITH BURETTE 150ML</t>
  </si>
  <si>
    <t>INFUSION SET WITH BURETTE 100ML</t>
  </si>
  <si>
    <t>NASAL-CPAP/BIPAP MASKS</t>
  </si>
  <si>
    <t>SKIN AND HAND DISINFECTANT</t>
  </si>
  <si>
    <t>RETUOCH-PHTHALALDEHYDE DISINFECTION</t>
  </si>
  <si>
    <t>SKIN CARE WIPES</t>
  </si>
  <si>
    <t>POVIDONE LODINE DISINFECTION</t>
  </si>
  <si>
    <t>SINGLE USE GASPING FORCES 1800M*2.4</t>
  </si>
  <si>
    <t>SINGLE USE BIOPSY FORCES 1800M*2.4</t>
  </si>
  <si>
    <t>SINGLE USE HEMOCLIPS 2300M*2.6</t>
  </si>
  <si>
    <t>SINGLE USE RETRIEVAL NETS 2300M*2.4</t>
  </si>
  <si>
    <t>SINGLE USE POLYPECTOMY SNARES 2300M*2.4</t>
  </si>
  <si>
    <t>3 PRONG GRASPING FORCES 2300M*2.4</t>
  </si>
  <si>
    <t>ENDOSCOPE INJECTION NEEDLE 1800M*6</t>
  </si>
  <si>
    <t>HIGH PRESSURE ANGIOGRAPHIC SYRINGES</t>
  </si>
  <si>
    <t>DISPOSABLE TROCARS 32*65CM</t>
  </si>
  <si>
    <t>DISPOSABLE TROCARS 10*110CM</t>
  </si>
  <si>
    <t>DISPOSABLE OPTICAL  TROCAS 15M*110M</t>
  </si>
  <si>
    <t>DISPOSABLE OPTICAL  TROCAS 12M*110M</t>
  </si>
  <si>
    <t>NON WOVEN PANTS</t>
  </si>
  <si>
    <t>GEOTEK= GBB1310 13G*10CM</t>
  </si>
  <si>
    <t>GEOTEK= GBB1115 11G*15CM</t>
  </si>
  <si>
    <t>GEOTEK= GDPN12-L 12FR*30CM</t>
  </si>
  <si>
    <t>GEOTEK= GPN1615 16G|*15CM</t>
  </si>
  <si>
    <t>GEOTEK= GBB1315 13G*15CM</t>
  </si>
  <si>
    <t>GEOTEK= GPN1815 18G*15CM</t>
  </si>
  <si>
    <t>GEOTEK= GDPN14-L 14FR*30CM</t>
  </si>
  <si>
    <t>GEOTEK= GPN1620 16G*20CM</t>
  </si>
  <si>
    <t>GEOTEK=GBB110 11G*10CM</t>
  </si>
  <si>
    <t>GEOTEK= GPN1420 14G*20CM</t>
  </si>
  <si>
    <t>GEOTEK= GDPNH14-L 14FR*30CM</t>
  </si>
  <si>
    <t>GEOTEK= GRM1630 16FR*30CM</t>
  </si>
  <si>
    <t>GEOTEK= GUA1238 10FR/12FR*38CM</t>
  </si>
  <si>
    <t>GEOTEK= G55870 8FR*70CM</t>
  </si>
  <si>
    <t>GEOTEK= GUA1245 10FR/12FR|*45CM</t>
  </si>
  <si>
    <t>GEOTEK= GBD0554 5FR*5M*4CM</t>
  </si>
  <si>
    <t>GEOTEK= GBD0554 5FR*4M*4CM</t>
  </si>
  <si>
    <t>GEOTEK= GBD5510 5FR*5M*10CM</t>
  </si>
  <si>
    <t xml:space="preserve">GEOTEK= GSP12 12FR </t>
  </si>
  <si>
    <t>GEOTEK= GSP10 10FR</t>
  </si>
  <si>
    <t>GEOTEK= GUDS-12 6FR*30F</t>
  </si>
  <si>
    <t>GEOTEK= GNBD10 7FR*55CM</t>
  </si>
  <si>
    <t>GEOTEK= GBD5610 5FR*6M*10CM</t>
  </si>
  <si>
    <t>GEOTEK=GBD0544 5FR|*4M*4CM</t>
  </si>
  <si>
    <t>GEOTEK= GBD0444 4FR*4M*4CM</t>
  </si>
  <si>
    <t>GEOTEK= GBD0556 5FR*5M*6CM</t>
  </si>
  <si>
    <t>GEOTEK= GNBD10 30FR*10M*120CM</t>
  </si>
  <si>
    <t>GEOTEK= GSBS4110 PARALLEL PLAT 4FR*110CM</t>
  </si>
  <si>
    <t>STAINLESS STEEL HELICAL ROUND 4FR*110</t>
  </si>
  <si>
    <t>GEOTEK=GSG390 3FR*90CM</t>
  </si>
  <si>
    <t>GEOTEK= GSG490 4FR*90CM</t>
  </si>
  <si>
    <t>GEOTEK= GSBN5110 5FR*110CM</t>
  </si>
  <si>
    <t>GEOTEK= GSG590 5FR*90CN</t>
  </si>
  <si>
    <t xml:space="preserve"> GEOTEK= GSGN4110 4FR*110CM</t>
  </si>
  <si>
    <t>GEOTEK= GSBN22110 2.2FR*110CM</t>
  </si>
  <si>
    <t>STAINLESS STEEL BASKET HELICALROUND 4FR*90</t>
  </si>
  <si>
    <t>GEOTEK= G5B53110 PARALLEL PLAT 3FR*110CM</t>
  </si>
  <si>
    <t>GEOTEK= G5B53110 PARALLEL PLAT 4FR*90CM</t>
  </si>
  <si>
    <t>STAINLESS STEEL HELICAL ROUND 3FR*110CM</t>
  </si>
  <si>
    <t>STAINLESS STEEL HELICAL ROUND 5FR*110CM</t>
  </si>
  <si>
    <t>MELECOT NEPHROSTOMY CATHETER 14FR</t>
  </si>
  <si>
    <t>MELECOT NEPHROSTOMY CATHETER 12FR</t>
  </si>
  <si>
    <t>MELECOT NEPHROSTOMY CATHETER 16FR</t>
  </si>
  <si>
    <t>OSTOMY BAGS</t>
  </si>
  <si>
    <t>HYDROGEN PEROXIDE</t>
  </si>
  <si>
    <t>DISPOSABLE TROCARS BLADELESS 12MM</t>
  </si>
  <si>
    <t>BATERIAL FILTER</t>
  </si>
  <si>
    <t>STOMACH TUBE 16FR</t>
  </si>
  <si>
    <t>BLOOD LANCET</t>
  </si>
  <si>
    <t xml:space="preserve">GLUTARAL DEHYDE DISINFECTANT </t>
  </si>
  <si>
    <t>MINT EFFICINT FAST RUST REMOVER</t>
  </si>
  <si>
    <t>STOMACH TUBE 14FR</t>
  </si>
  <si>
    <t>FEEDING TUBE 18FR</t>
  </si>
  <si>
    <t>FEEDING TUBE 14FR</t>
  </si>
  <si>
    <t>FEEDING TUBE 16FR</t>
  </si>
  <si>
    <t>IOHEXOL INJECTTION</t>
  </si>
  <si>
    <t>EFFICIENT FAST MULTIENZYME CLEANING</t>
  </si>
  <si>
    <t>WOGO CONDOM CATHETER (SILICONE) XL</t>
  </si>
  <si>
    <t>WOGO CONDOM CATHETER (SILICONE) M</t>
  </si>
  <si>
    <t>WOGO CONDOM CATHETER (SILICONE) S</t>
  </si>
  <si>
    <t>WOGO CONDOM CATHETER (SILICONE) L</t>
  </si>
  <si>
    <t xml:space="preserve">CHEST DRAINAGE </t>
  </si>
  <si>
    <t>DISPOSABLE SUCTION CATHETER 12FR</t>
  </si>
  <si>
    <t>PUNCTURE SET FOR LOCAL ANESTHESIA</t>
  </si>
  <si>
    <t>WEGO ONE WAY MALECOT CATHETER 12FR</t>
  </si>
  <si>
    <t>WEGO ONE WAY MALECOT CATHETER 14FR</t>
  </si>
  <si>
    <t>WEGO ONE WAY MALECOT CATHETER 18FR</t>
  </si>
  <si>
    <t>WEGO ONE WAY MALECOT CATHETER 16FR</t>
  </si>
  <si>
    <t>WEGO ONE WAY MALECOT CATHETER 20FR</t>
  </si>
  <si>
    <t>WEGO ONE WAY MALECOT CATHETER 22FR</t>
  </si>
  <si>
    <t>WEGO ONE WAY MALECOT CATHETER 24FR</t>
  </si>
  <si>
    <t>GAUZE ROLL 90x90</t>
  </si>
  <si>
    <t>ABSORBENT COTTON WOUL ROLL</t>
  </si>
  <si>
    <t>TRACHEOSTOMY TUBE UNCUFFED 9.5</t>
  </si>
  <si>
    <t>TRACHEOSTOMY TUBE UNCUFFED 9.0</t>
  </si>
  <si>
    <t>TRACHEOSTOMY TUBE UNCUFFED 6.5</t>
  </si>
  <si>
    <t>TRACHEOSTOMY TUBE UNCUFFED 8.5</t>
  </si>
  <si>
    <t>TRACHEOSTOMY TUBE UNCUFFED 8.0</t>
  </si>
  <si>
    <t>TRACHEOSTOMY TUBE UNCUFFED 7.5</t>
  </si>
  <si>
    <t>TRACHEOSTOMY TUBE UNCUFFED 7.0</t>
  </si>
  <si>
    <t>TRACHEOSTOMY TUBE CUFFED 8.5</t>
  </si>
  <si>
    <t>TRACHEOSTOMY TUBE CUFFED 9.0</t>
  </si>
  <si>
    <t>TRACHEOSTOMY TUBE CUFFED 9.5</t>
  </si>
  <si>
    <t>DISPOSABLE URINER BAG 1000ml</t>
  </si>
  <si>
    <t>URINE BAG 2000ml</t>
  </si>
  <si>
    <t>ENDOTRACHEAL NASAL UNCUFFED 3.0MM</t>
  </si>
  <si>
    <t>ENDOTRACHAEL NASAL CUFFED 3.5MM</t>
  </si>
  <si>
    <t>ENDOTRACHEAL ORAL UNCUFFED 10MM</t>
  </si>
  <si>
    <t>ENDOTRACHEAL ORAL UNCUFFED 9.5MM</t>
  </si>
  <si>
    <t>ENDOTRACHEAL ORAL UNCUFFED 9.0MM</t>
  </si>
  <si>
    <t>ENDOTRACHEAL ORAL UNCUFFED 8.0MM</t>
  </si>
  <si>
    <t>ENDOTRACHEAL ORAL UNCUFFED 7.5MM</t>
  </si>
  <si>
    <t>ENDOTRACHEAL ORAL UNCUFFED 7.0MM</t>
  </si>
  <si>
    <t>ENDOTRACHEAL ORAL UNCUFFED 6.5MM</t>
  </si>
  <si>
    <t>ENDOTRACHEAL ORAL UNCUFFED 6.0MM</t>
  </si>
  <si>
    <t>ENDOTRACHEAL ORAL UNCUFFED 5.5MM</t>
  </si>
  <si>
    <t>ENDOTRACHEAL ORAL UNCUFFED 5.0MM</t>
  </si>
  <si>
    <t>ENDOTRACHEAL ORAL UNCUFFED 4.5MM</t>
  </si>
  <si>
    <t>ENDOTRACHEAL ORAL UNCUFFED 4.0MM</t>
  </si>
  <si>
    <t>ENDOTRACHEAL ORAL UNCUFFED 3.5MM</t>
  </si>
  <si>
    <t>ENDOTRACHEAL ORAL UNCUFFED 2.5MM</t>
  </si>
  <si>
    <t>ENDOTRACHEAL ORAL UNCUFFED 2.0MM</t>
  </si>
  <si>
    <t>DISPOSABLE CISRCUMCISION STAPLERS</t>
  </si>
  <si>
    <t>TREE WAY STOPCOCK SANS TUBE</t>
  </si>
  <si>
    <t>THREE WAY STOPCOCK AVEC TUBE 10CM</t>
  </si>
  <si>
    <t>ENDOTRACHAEL TUBE ORAL CUFFED 10M</t>
  </si>
  <si>
    <t>ENDOTRACHAEL TUBE ORAL CUFFED 9.5M</t>
  </si>
  <si>
    <t>ENDOTRACHAEL TUBE ORAL CUFFED 9.0M</t>
  </si>
  <si>
    <t>ENDOTRACHAEL TUBE ORAL CUFFED 8.5M</t>
  </si>
  <si>
    <t>ENDOTRACHAEL TUBE ORAL CUFFED 8.0M</t>
  </si>
  <si>
    <t>ENDOTRACHAEL TUBE ORAL CUFFED 7.5M</t>
  </si>
  <si>
    <t>ENDOTRACHAEL TUBE ORAL CUFFED 7.0M</t>
  </si>
  <si>
    <t>ENDOTRACHAEL TUBE ORAL CUFFED 6.5M</t>
  </si>
  <si>
    <t>ENDOTRACHAEL TUBE ORAL CUFFED 6.0M</t>
  </si>
  <si>
    <t>ENDOTRACHAEL TUBE ORAL CUFFED 5.5M</t>
  </si>
  <si>
    <t>ENDOTRACHAEL TUBE ORAL CUFFED 5.0M</t>
  </si>
  <si>
    <t>ENDOTRACHAEL TUBE ORAL CUFFED 4.5M</t>
  </si>
  <si>
    <t>ENDOTRACHAEL TUBE ORAL CUFFED 4.0M</t>
  </si>
  <si>
    <t>ENDOTRACHAEL TUBE ORAL CUFFED 3.5M</t>
  </si>
  <si>
    <t>connecting tube (yankare)</t>
  </si>
  <si>
    <t xml:space="preserve">nebulizer MASK MIX </t>
  </si>
  <si>
    <t xml:space="preserve">lap sponge </t>
  </si>
  <si>
    <t xml:space="preserve">BLOOD LINE </t>
  </si>
  <si>
    <t>DIN INPUT ADAPTOR 0-15L</t>
  </si>
  <si>
    <t>HEARING AID C-108</t>
  </si>
  <si>
    <t xml:space="preserve">اكياس زباله </t>
  </si>
  <si>
    <t>قلفزات مطبخ</t>
  </si>
  <si>
    <t>ECHO GRAPHE FILME *5</t>
  </si>
  <si>
    <t>disposable surgical hand dislnfection gel</t>
  </si>
  <si>
    <t>75% alcohol disinfactant wipes</t>
  </si>
  <si>
    <t>GAUZE 7.5X7.5</t>
  </si>
  <si>
    <t>120CM X120CM SMS ممكن يشتغل بيد شيت</t>
  </si>
  <si>
    <t xml:space="preserve">BACTERIA FILTER </t>
  </si>
  <si>
    <t xml:space="preserve">esp plate </t>
  </si>
  <si>
    <t xml:space="preserve">nebulzer </t>
  </si>
  <si>
    <t xml:space="preserve">suction machine </t>
  </si>
  <si>
    <t xml:space="preserve">yangker handle </t>
  </si>
  <si>
    <t xml:space="preserve">lens wipes </t>
  </si>
  <si>
    <t xml:space="preserve">round filiter </t>
  </si>
  <si>
    <t xml:space="preserve">diathermy pencil </t>
  </si>
  <si>
    <t xml:space="preserve">3-way </t>
  </si>
  <si>
    <t>pad for pop bandag 10 cm</t>
  </si>
  <si>
    <t>pad for pop bandag 15 cm</t>
  </si>
  <si>
    <t>pad for pop bandag 20 cm</t>
  </si>
  <si>
    <t>sterilization roll 400 mmx200cm</t>
  </si>
  <si>
    <t>triple lumen 15cm iv extension line</t>
  </si>
  <si>
    <t xml:space="preserve">reinforced surgicsl gawn </t>
  </si>
  <si>
    <t xml:space="preserve">face mask </t>
  </si>
  <si>
    <r>
      <t>plaster bandage</t>
    </r>
    <r>
      <rPr>
        <sz val="16"/>
        <color rgb="FFFF0000"/>
        <rFont val="Calibri"/>
        <family val="2"/>
        <scheme val="minor"/>
      </rPr>
      <t xml:space="preserve"> 20cm</t>
    </r>
  </si>
  <si>
    <r>
      <t>plaster bandage</t>
    </r>
    <r>
      <rPr>
        <sz val="16"/>
        <color rgb="FFFF0000"/>
        <rFont val="Calibri"/>
        <family val="2"/>
        <scheme val="minor"/>
      </rPr>
      <t xml:space="preserve"> 7.5cm</t>
    </r>
  </si>
  <si>
    <r>
      <t>plaster bandage</t>
    </r>
    <r>
      <rPr>
        <sz val="16"/>
        <color rgb="FFFF0000"/>
        <rFont val="Calibri"/>
        <family val="2"/>
        <scheme val="minor"/>
      </rPr>
      <t xml:space="preserve"> 15cm</t>
    </r>
  </si>
  <si>
    <r>
      <t>plaster bandage</t>
    </r>
    <r>
      <rPr>
        <sz val="16"/>
        <color rgb="FFFF0000"/>
        <rFont val="Calibri"/>
        <family val="2"/>
        <scheme val="minor"/>
      </rPr>
      <t xml:space="preserve"> 5cm</t>
    </r>
  </si>
  <si>
    <r>
      <t>plaster bandage</t>
    </r>
    <r>
      <rPr>
        <sz val="16"/>
        <color rgb="FFFF0000"/>
        <rFont val="Calibri"/>
        <family val="2"/>
        <scheme val="minor"/>
      </rPr>
      <t xml:space="preserve"> 10cm</t>
    </r>
  </si>
  <si>
    <r>
      <t xml:space="preserve">DISPOSABLE STERILE UNIVERSAL PACK </t>
    </r>
    <r>
      <rPr>
        <sz val="16"/>
        <color rgb="FFFF0000"/>
        <rFont val="Calibri"/>
        <family val="2"/>
        <scheme val="minor"/>
      </rPr>
      <t>4</t>
    </r>
  </si>
  <si>
    <r>
      <t xml:space="preserve">DISPOSABLE STERILE UNIVERSAL PACK </t>
    </r>
    <r>
      <rPr>
        <sz val="16"/>
        <color rgb="FFFF0000"/>
        <rFont val="Calibri"/>
        <family val="2"/>
        <scheme val="minor"/>
      </rPr>
      <t>10</t>
    </r>
  </si>
  <si>
    <r>
      <t xml:space="preserve">DIALYSIS FILTER </t>
    </r>
    <r>
      <rPr>
        <sz val="16"/>
        <color rgb="FFFF0000"/>
        <rFont val="Calibri"/>
        <family val="2"/>
        <scheme val="minor"/>
      </rPr>
      <t>FR 18</t>
    </r>
  </si>
  <si>
    <r>
      <t xml:space="preserve">HOLLOW FIBER HEMODIALYZER LOF </t>
    </r>
    <r>
      <rPr>
        <sz val="16"/>
        <color rgb="FFFF0000"/>
        <rFont val="Calibri"/>
        <family val="2"/>
        <scheme val="minor"/>
      </rPr>
      <t>18</t>
    </r>
  </si>
  <si>
    <r>
      <t>HOLLOW FIBER HEMODIALYZER LOF</t>
    </r>
    <r>
      <rPr>
        <sz val="16"/>
        <color rgb="FFFF0000"/>
        <rFont val="Calibri"/>
        <family val="2"/>
        <scheme val="minor"/>
      </rPr>
      <t xml:space="preserve"> 20</t>
    </r>
  </si>
  <si>
    <r>
      <t xml:space="preserve">disposable fistula needle </t>
    </r>
    <r>
      <rPr>
        <sz val="16"/>
        <color rgb="FFFF0000"/>
        <rFont val="Calibri"/>
        <family val="2"/>
        <scheme val="minor"/>
      </rPr>
      <t>16</t>
    </r>
  </si>
  <si>
    <r>
      <t xml:space="preserve">disposable fistula needle </t>
    </r>
    <r>
      <rPr>
        <sz val="16"/>
        <color rgb="FFFF0000"/>
        <rFont val="Calibri"/>
        <family val="2"/>
        <scheme val="minor"/>
      </rPr>
      <t>14</t>
    </r>
  </si>
  <si>
    <r>
      <t>dialysis powder</t>
    </r>
    <r>
      <rPr>
        <sz val="16"/>
        <color rgb="FFFF0000"/>
        <rFont val="Calibri"/>
        <family val="2"/>
        <scheme val="minor"/>
      </rPr>
      <t xml:space="preserve"> A</t>
    </r>
  </si>
  <si>
    <r>
      <t>dialysis powder</t>
    </r>
    <r>
      <rPr>
        <sz val="16"/>
        <color rgb="FFFF0000"/>
        <rFont val="Calibri"/>
        <family val="2"/>
        <scheme val="minor"/>
      </rPr>
      <t xml:space="preserve"> B</t>
    </r>
  </si>
  <si>
    <r>
      <t>DISPOSABLE ENDOBAG</t>
    </r>
    <r>
      <rPr>
        <sz val="16"/>
        <color rgb="FFFF0000"/>
        <rFont val="Calibri"/>
        <family val="2"/>
        <scheme val="minor"/>
      </rPr>
      <t xml:space="preserve"> GYSF - IV 250</t>
    </r>
  </si>
  <si>
    <r>
      <t xml:space="preserve">DISPOSABLE ENDOBAG </t>
    </r>
    <r>
      <rPr>
        <sz val="16"/>
        <color rgb="FFFF0000"/>
        <rFont val="Calibri"/>
        <family val="2"/>
        <scheme val="minor"/>
      </rPr>
      <t>WITH STRING 250ML</t>
    </r>
  </si>
  <si>
    <r>
      <t>DISPOSABLE ENDOBAG</t>
    </r>
    <r>
      <rPr>
        <sz val="16"/>
        <color rgb="FFFF0000"/>
        <rFont val="Calibri"/>
        <family val="2"/>
        <scheme val="minor"/>
      </rPr>
      <t xml:space="preserve"> POUCH BAG 1000ML</t>
    </r>
  </si>
  <si>
    <r>
      <t xml:space="preserve">CENTRAL VENOUS </t>
    </r>
    <r>
      <rPr>
        <sz val="16"/>
        <color rgb="FFFF0000"/>
        <rFont val="Calibri"/>
        <family val="2"/>
        <scheme val="minor"/>
      </rPr>
      <t>7FR DOUBLE</t>
    </r>
  </si>
  <si>
    <r>
      <t xml:space="preserve">CENTRAL VENOUS </t>
    </r>
    <r>
      <rPr>
        <sz val="16"/>
        <color rgb="FFFF0000"/>
        <rFont val="Calibri"/>
        <family val="2"/>
        <scheme val="minor"/>
      </rPr>
      <t>7FR TRIPLE</t>
    </r>
  </si>
  <si>
    <r>
      <t xml:space="preserve">stomach tube </t>
    </r>
    <r>
      <rPr>
        <sz val="16"/>
        <color rgb="FFFF0000"/>
        <rFont val="Calibri"/>
        <family val="2"/>
        <scheme val="minor"/>
      </rPr>
      <t>fr 12</t>
    </r>
  </si>
  <si>
    <r>
      <t>stomach tube</t>
    </r>
    <r>
      <rPr>
        <sz val="16"/>
        <color rgb="FFFF0000"/>
        <rFont val="Calibri"/>
        <family val="2"/>
        <scheme val="minor"/>
      </rPr>
      <t xml:space="preserve"> fr 18</t>
    </r>
  </si>
  <si>
    <r>
      <rPr>
        <sz val="16"/>
        <color rgb="FFFF0000"/>
        <rFont val="Calibri"/>
        <family val="2"/>
        <scheme val="minor"/>
      </rPr>
      <t>60 ml</t>
    </r>
    <r>
      <rPr>
        <sz val="16"/>
        <color theme="1"/>
        <rFont val="Calibri"/>
        <family val="2"/>
        <scheme val="minor"/>
      </rPr>
      <t xml:space="preserve"> irrigation syringe</t>
    </r>
  </si>
  <si>
    <r>
      <t>breathing circuit</t>
    </r>
    <r>
      <rPr>
        <sz val="16"/>
        <color rgb="FFFF0000"/>
        <rFont val="Calibri"/>
        <family val="2"/>
        <scheme val="minor"/>
      </rPr>
      <t xml:space="preserve"> 1.8 meter </t>
    </r>
  </si>
  <si>
    <r>
      <t>irrigation syring</t>
    </r>
    <r>
      <rPr>
        <sz val="16"/>
        <color rgb="FFFF0000"/>
        <rFont val="Calibri"/>
        <family val="2"/>
        <scheme val="minor"/>
      </rPr>
      <t xml:space="preserve"> 60ml</t>
    </r>
  </si>
  <si>
    <r>
      <t xml:space="preserve">medical FILM 35*45CM </t>
    </r>
    <r>
      <rPr>
        <sz val="16"/>
        <color rgb="FFFF0000"/>
        <rFont val="Calibri"/>
        <family val="2"/>
        <scheme val="minor"/>
      </rPr>
      <t>big</t>
    </r>
  </si>
  <si>
    <r>
      <t xml:space="preserve">MEDICAL FILM 25*30CM </t>
    </r>
    <r>
      <rPr>
        <sz val="16"/>
        <color rgb="FFFF0000"/>
        <rFont val="Calibri"/>
        <family val="2"/>
        <scheme val="minor"/>
      </rPr>
      <t>small</t>
    </r>
  </si>
  <si>
    <t>oxygen mzsk mix</t>
  </si>
  <si>
    <t>Isolation GOWN SINGLE USE</t>
  </si>
  <si>
    <r>
      <t xml:space="preserve">HIGHT FIBER HEMODIALYZER hif </t>
    </r>
    <r>
      <rPr>
        <sz val="16"/>
        <color rgb="FFFF0000"/>
        <rFont val="Calibri"/>
        <family val="2"/>
        <scheme val="minor"/>
      </rPr>
      <t>20</t>
    </r>
  </si>
  <si>
    <t>product</t>
  </si>
  <si>
    <t>sku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</si>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</sst>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>
    <font>
      <sz val="18"/>
      <color theme="1"/>
      <name val="Calibri"/>
      <charset val="134"/>
      <scheme val="minor"/>
    </font>
    <font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ambria"/>
      <family val="1"/>
      <scheme val="maj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22"/>
      <name val="Cambria"/>
      <family val="1"/>
      <scheme val="major"/>
    </font>
    <font>
      <sz val="18"/>
      <name val="Cambria"/>
      <family val="1"/>
      <scheme val="major"/>
    </font>
    <font>
      <sz val="16"/>
      <color theme="1"/>
      <name val="Calibri"/>
      <family val="2"/>
      <scheme val="minor"/>
    </font>
    <font>
      <sz val="16"/>
      <color theme="1"/>
      <name val="Bahnschrift SemiBold SemiConden"/>
      <family val="2"/>
    </font>
    <font>
      <sz val="16"/>
      <color theme="1"/>
      <name val="Arial Rounded MT Bold"/>
      <family val="2"/>
    </font>
    <font>
      <sz val="16"/>
      <color rgb="FFFF0000"/>
      <name val="Calibri"/>
      <family val="2"/>
      <scheme val="minor"/>
    </font>
    <font>
      <sz val="16"/>
      <color theme="1"/>
      <name val="Cambria"/>
      <family val="1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3">
    <xf numFmtId="0" fontId="0" fillId="0" borderId="0" xfId="0"/>
    <xf numFmtId="164" fontId="0" fillId="0" borderId="0" xfId="1" applyNumberFormat="1" applyFont="1"/>
    <xf numFmtId="164" fontId="0" fillId="0" borderId="1" xfId="1" applyNumberFormat="1" applyFont="1" applyBorder="1"/>
    <xf numFmtId="0" fontId="0" fillId="0" borderId="1" xfId="0" applyBorder="1"/>
    <xf numFmtId="0" fontId="0" fillId="0" borderId="2" xfId="0" applyBorder="1"/>
    <xf numFmtId="0" fontId="0" fillId="9" borderId="2" xfId="0" applyFill="1" applyBorder="1"/>
    <xf numFmtId="0" fontId="0" fillId="0" borderId="0" xfId="0" applyAlignment="1">
      <alignment vertical="center"/>
    </xf>
    <xf numFmtId="0" fontId="6" fillId="0" borderId="0" xfId="0" applyFont="1"/>
    <xf numFmtId="0" fontId="6" fillId="10" borderId="0" xfId="0" applyFont="1" applyFill="1" applyAlignment="1">
      <alignment horizontal="center" vertical="top"/>
    </xf>
    <xf numFmtId="0" fontId="8" fillId="10" borderId="1" xfId="0" applyFont="1" applyFill="1" applyBorder="1" applyAlignment="1">
      <alignment horizontal="center" vertical="top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top"/>
    </xf>
    <xf numFmtId="0" fontId="9" fillId="0" borderId="0" xfId="0" applyFont="1"/>
    <xf numFmtId="0" fontId="11" fillId="2" borderId="1" xfId="0" applyFont="1" applyFill="1" applyBorder="1"/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9" fillId="7" borderId="1" xfId="0" applyFont="1" applyFill="1" applyBorder="1"/>
    <xf numFmtId="0" fontId="9" fillId="6" borderId="1" xfId="0" applyFont="1" applyFill="1" applyBorder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top"/>
    </xf>
    <xf numFmtId="0" fontId="9" fillId="5" borderId="1" xfId="0" applyFont="1" applyFill="1" applyBorder="1"/>
    <xf numFmtId="0" fontId="13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/>
    <xf numFmtId="0" fontId="9" fillId="11" borderId="1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top"/>
    </xf>
    <xf numFmtId="0" fontId="10" fillId="0" borderId="0" xfId="0" applyFont="1"/>
    <xf numFmtId="164" fontId="0" fillId="0" borderId="0" xfId="1" applyNumberFormat="1" applyFont="1" applyBorder="1"/>
    <xf numFmtId="14" fontId="9" fillId="0" borderId="0" xfId="0" applyNumberFormat="1" applyFont="1"/>
    <xf numFmtId="164" fontId="3" fillId="3" borderId="2" xfId="1" applyNumberFormat="1" applyFont="1" applyFill="1" applyBorder="1"/>
    <xf numFmtId="164" fontId="0" fillId="0" borderId="2" xfId="1" applyNumberFormat="1" applyFont="1" applyBorder="1"/>
    <xf numFmtId="164" fontId="0" fillId="4" borderId="2" xfId="1" applyNumberFormat="1" applyFont="1" applyFill="1" applyBorder="1"/>
    <xf numFmtId="164" fontId="0" fillId="0" borderId="2" xfId="1" applyNumberFormat="1" applyFont="1" applyBorder="1" applyAlignment="1">
      <alignment vertical="center"/>
    </xf>
    <xf numFmtId="164" fontId="0" fillId="6" borderId="2" xfId="1" applyNumberFormat="1" applyFont="1" applyFill="1" applyBorder="1"/>
    <xf numFmtId="164" fontId="0" fillId="0" borderId="2" xfId="1" applyNumberFormat="1" applyFont="1" applyBorder="1" applyAlignment="1">
      <alignment horizontal="left"/>
    </xf>
    <xf numFmtId="164" fontId="0" fillId="7" borderId="2" xfId="1" applyNumberFormat="1" applyFont="1" applyFill="1" applyBorder="1"/>
    <xf numFmtId="164" fontId="0" fillId="5" borderId="2" xfId="1" applyNumberFormat="1" applyFont="1" applyFill="1" applyBorder="1"/>
    <xf numFmtId="0" fontId="4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top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13</xdr:row>
      <xdr:rowOff>0</xdr:rowOff>
    </xdr:from>
    <xdr:to>
      <xdr:col>11</xdr:col>
      <xdr:colOff>304800</xdr:colOff>
      <xdr:row>14</xdr:row>
      <xdr:rowOff>9525</xdr:rowOff>
    </xdr:to>
    <xdr:sp macro="" textlink="">
      <xdr:nvSpPr>
        <xdr:cNvPr id="1028" name="AutoShape 4" descr="Nouvelle Vie Medicite – Multispecialty ...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>
        <a:xfrm>
          <a:off x="19507200" y="52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9525</xdr:rowOff>
    </xdr:to>
    <xdr:sp macro="" textlink="">
      <xdr:nvSpPr>
        <xdr:cNvPr id="1030" name="AutoShape 6" descr="Nouvelle Vie Medicite – Multispecialty ...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>
        <a:xfrm>
          <a:off x="19507200" y="49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9525</xdr:rowOff>
    </xdr:to>
    <xdr:sp macro="" textlink="">
      <xdr:nvSpPr>
        <xdr:cNvPr id="1031" name="AutoShape 7" descr="Nouvelle Vie Medicite – Multispecialty ...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>
        <a:xfrm>
          <a:off x="19507200" y="46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475</xdr:row>
      <xdr:rowOff>57149</xdr:rowOff>
    </xdr:from>
    <xdr:to>
      <xdr:col>7</xdr:col>
      <xdr:colOff>1018070</xdr:colOff>
      <xdr:row>475</xdr:row>
      <xdr:rowOff>1238250</xdr:rowOff>
    </xdr:to>
    <xdr:pic>
      <xdr:nvPicPr>
        <xdr:cNvPr id="7" name="Picture 6" descr="Brass Medical O2 Gas Regulator - Oxygen Flowmeter and Oxygen Inhaler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86850" y="142646399"/>
          <a:ext cx="2269927" cy="1181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476</xdr:row>
      <xdr:rowOff>104775</xdr:rowOff>
    </xdr:from>
    <xdr:to>
      <xdr:col>7</xdr:col>
      <xdr:colOff>900136</xdr:colOff>
      <xdr:row>476</xdr:row>
      <xdr:rowOff>1038225</xdr:rowOff>
    </xdr:to>
    <xdr:pic>
      <xdr:nvPicPr>
        <xdr:cNvPr id="9" name="Picture 8" descr="Axon Hearing Aid C-108 Rechargeable: Buy Axon Hearing Aid C-108 ...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124948" y="143989425"/>
          <a:ext cx="2151993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480</xdr:row>
      <xdr:rowOff>28573</xdr:rowOff>
    </xdr:from>
    <xdr:to>
      <xdr:col>7</xdr:col>
      <xdr:colOff>986514</xdr:colOff>
      <xdr:row>480</xdr:row>
      <xdr:rowOff>790574</xdr:rowOff>
    </xdr:to>
    <xdr:pic>
      <xdr:nvPicPr>
        <xdr:cNvPr id="10" name="Picture 9" descr="Disposable Laparoscopic Endobag at ₹ 700/piece | Laparoscopic ...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39225" y="145894423"/>
          <a:ext cx="2238371" cy="762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481</xdr:row>
      <xdr:rowOff>38099</xdr:rowOff>
    </xdr:from>
    <xdr:to>
      <xdr:col>7</xdr:col>
      <xdr:colOff>634093</xdr:colOff>
      <xdr:row>481</xdr:row>
      <xdr:rowOff>676274</xdr:rowOff>
    </xdr:to>
    <xdr:pic>
      <xdr:nvPicPr>
        <xdr:cNvPr id="11" name="Picture 10" descr="Disposable Laparoscopic Specimen Retrieval Bag Endobag with Mdr CE FDA ...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48750" y="146742149"/>
          <a:ext cx="18859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482</xdr:row>
      <xdr:rowOff>152400</xdr:rowOff>
    </xdr:from>
    <xdr:to>
      <xdr:col>7</xdr:col>
      <xdr:colOff>973702</xdr:colOff>
      <xdr:row>482</xdr:row>
      <xdr:rowOff>685800</xdr:rowOff>
    </xdr:to>
    <xdr:pic>
      <xdr:nvPicPr>
        <xdr:cNvPr id="12" name="Picture 11" descr="Specimen Retrieval Bag Endobag Endopouch Laparoscopy Endobag ...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20198" y="147589875"/>
          <a:ext cx="2225559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501</xdr:row>
      <xdr:rowOff>114298</xdr:rowOff>
    </xdr:from>
    <xdr:to>
      <xdr:col>7</xdr:col>
      <xdr:colOff>796018</xdr:colOff>
      <xdr:row>501</xdr:row>
      <xdr:rowOff>876299</xdr:rowOff>
    </xdr:to>
    <xdr:pic>
      <xdr:nvPicPr>
        <xdr:cNvPr id="14" name="Picture 13" descr="Electrosurgical Electrode(Diathermy Pencil) – ABC Medical Solutions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134475" y="154905073"/>
          <a:ext cx="2047875" cy="762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507</xdr:row>
      <xdr:rowOff>133350</xdr:rowOff>
    </xdr:from>
    <xdr:to>
      <xdr:col>7</xdr:col>
      <xdr:colOff>866634</xdr:colOff>
      <xdr:row>507</xdr:row>
      <xdr:rowOff>1162050</xdr:rowOff>
    </xdr:to>
    <xdr:pic>
      <xdr:nvPicPr>
        <xdr:cNvPr id="15" name="Picture 14" descr="IV Extension line with 2 Needle free Ports - Riomed Medical Supplies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172574" y="158200725"/>
          <a:ext cx="2118491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495</xdr:row>
      <xdr:rowOff>47626</xdr:rowOff>
    </xdr:from>
    <xdr:to>
      <xdr:col>7</xdr:col>
      <xdr:colOff>881743</xdr:colOff>
      <xdr:row>495</xdr:row>
      <xdr:rowOff>1074963</xdr:rowOff>
    </xdr:to>
    <xdr:pic>
      <xdr:nvPicPr>
        <xdr:cNvPr id="17" name="Picture 16" descr="Breathing / Respiratory Circuits - George Philips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99271" y="160652733"/>
          <a:ext cx="2133600" cy="10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496</xdr:row>
      <xdr:rowOff>69215</xdr:rowOff>
    </xdr:from>
    <xdr:to>
      <xdr:col>7</xdr:col>
      <xdr:colOff>1129608</xdr:colOff>
      <xdr:row>496</xdr:row>
      <xdr:rowOff>962025</xdr:rowOff>
    </xdr:to>
    <xdr:pic>
      <xdr:nvPicPr>
        <xdr:cNvPr id="18" name="Picture 17" descr="Suction Unit, Phlegm Suction, Suction Machine, Suction Apparatus ...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55100" y="152678765"/>
          <a:ext cx="2381465" cy="892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506</xdr:row>
      <xdr:rowOff>66675</xdr:rowOff>
    </xdr:from>
    <xdr:to>
      <xdr:col>7</xdr:col>
      <xdr:colOff>1070647</xdr:colOff>
      <xdr:row>506</xdr:row>
      <xdr:rowOff>1076325</xdr:rowOff>
    </xdr:to>
    <xdr:pic>
      <xdr:nvPicPr>
        <xdr:cNvPr id="19" name="Picture 18" descr="Medical Grade Paper Industrial Sterilization Rolls, ETO at ₹ 400/roll ...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9175" y="156952950"/>
          <a:ext cx="2322504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304800</xdr:colOff>
      <xdr:row>41</xdr:row>
      <xdr:rowOff>304800</xdr:rowOff>
    </xdr:to>
    <xdr:sp macro="" textlink="">
      <xdr:nvSpPr>
        <xdr:cNvPr id="1026" name="AutoShape 2" descr="https://image.made-in-china.com/202f0j00dtNBrneEyyqC/Workwear-Disposable-63G-Coverall-Non-Woven-Lab-Coat-Isolation-Gown-Protective-Clothing.webp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0401300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304800</xdr:colOff>
      <xdr:row>41</xdr:row>
      <xdr:rowOff>304800</xdr:rowOff>
    </xdr:to>
    <xdr:sp macro="" textlink="">
      <xdr:nvSpPr>
        <xdr:cNvPr id="1027" name="AutoShape 3" descr="https://image.made-in-china.com/202f0j00dtNBrneEyyqC/Workwear-Disposable-63G-Coverall-Non-Woven-Lab-Coat-Isolation-Gown-Protective-Clothing.webp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10401300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304800</xdr:colOff>
      <xdr:row>41</xdr:row>
      <xdr:rowOff>304800</xdr:rowOff>
    </xdr:to>
    <xdr:sp macro="" textlink="">
      <xdr:nvSpPr>
        <xdr:cNvPr id="3" name="AutoShape 4" descr="https://image.made-in-china.com/202f0j00dtNBrneEyyqC/Workwear-Disposable-63G-Coverall-Non-Woven-Lab-Coat-Isolation-Gown-Protective-Clothing.web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0401300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6000751</xdr:colOff>
      <xdr:row>41</xdr:row>
      <xdr:rowOff>133351</xdr:rowOff>
    </xdr:from>
    <xdr:to>
      <xdr:col>7</xdr:col>
      <xdr:colOff>1091294</xdr:colOff>
      <xdr:row>41</xdr:row>
      <xdr:rowOff>2819401</xdr:rowOff>
    </xdr:to>
    <xdr:pic>
      <xdr:nvPicPr>
        <xdr:cNvPr id="22" name="Picture 21" descr="Protective Coverall, Lab Coat, Patient Gown - Yung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1" y="14039851"/>
          <a:ext cx="2362199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73</xdr:row>
      <xdr:rowOff>40820</xdr:rowOff>
    </xdr:from>
    <xdr:to>
      <xdr:col>7</xdr:col>
      <xdr:colOff>1531783</xdr:colOff>
      <xdr:row>73</xdr:row>
      <xdr:rowOff>2122714</xdr:rowOff>
    </xdr:to>
    <xdr:pic>
      <xdr:nvPicPr>
        <xdr:cNvPr id="23" name="Picture 22" descr="Amazon.com: Stretcher Portable Folding Aluminum Lightweight with ...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4967" y="25935213"/>
          <a:ext cx="2783640" cy="2081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492</xdr:row>
      <xdr:rowOff>68035</xdr:rowOff>
    </xdr:from>
    <xdr:to>
      <xdr:col>7</xdr:col>
      <xdr:colOff>1945379</xdr:colOff>
      <xdr:row>492</xdr:row>
      <xdr:rowOff>2217964</xdr:rowOff>
    </xdr:to>
    <xdr:pic>
      <xdr:nvPicPr>
        <xdr:cNvPr id="24" name="Picture 23" descr="Do You Need Grounding Pad For Bipolar at Tammy Pough blo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5536" y="157829249"/>
          <a:ext cx="3197236" cy="2149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800"/>
  <sheetViews>
    <sheetView tabSelected="1" topLeftCell="B496" zoomScale="70" zoomScaleNormal="70" workbookViewId="0">
      <selection activeCell="B21" sqref="A21:XFD21"/>
    </sheetView>
  </sheetViews>
  <sheetFormatPr baseColWidth="10" defaultColWidth="9" defaultRowHeight="23.4"/>
  <cols>
    <col min="1" max="1" width="2.73046875" customWidth="1"/>
    <col min="5" max="5" width="15.86328125" style="8" customWidth="1"/>
    <col min="6" max="6" width="52.59765625" style="13" bestFit="1" customWidth="1"/>
    <col min="7" max="7" width="10.9296875" style="1" customWidth="1"/>
    <col min="8" max="8" width="25.6640625" style="43" customWidth="1"/>
    <col min="9" max="9" width="23.265625" customWidth="1"/>
    <col min="10" max="10" width="23" customWidth="1"/>
  </cols>
  <sheetData>
    <row r="1" spans="3:9" ht="93" customHeight="1">
      <c r="C1" s="7"/>
    </row>
    <row r="4" spans="3:9" ht="61.2">
      <c r="E4" s="30"/>
      <c r="F4" s="31"/>
      <c r="G4" s="32"/>
      <c r="H4" s="44"/>
    </row>
    <row r="5" spans="3:9">
      <c r="E5" s="30"/>
      <c r="F5" s="33"/>
      <c r="G5" s="32"/>
    </row>
    <row r="6" spans="3:9" ht="28.8">
      <c r="E6" s="12" t="s">
        <v>509</v>
      </c>
      <c r="F6" s="14" t="s">
        <v>508</v>
      </c>
      <c r="G6" s="34" t="s">
        <v>510</v>
      </c>
      <c r="H6" s="45"/>
      <c r="I6" s="46"/>
    </row>
    <row r="7" spans="3:9">
      <c r="E7" s="9">
        <v>20021</v>
      </c>
      <c r="F7" s="15" t="s">
        <v>0</v>
      </c>
      <c r="G7" s="35">
        <f>39*5000</f>
        <v>195000</v>
      </c>
      <c r="I7" s="47"/>
    </row>
    <row r="8" spans="3:9">
      <c r="E8" s="9">
        <f>1+E7</f>
        <v>20022</v>
      </c>
      <c r="F8" s="15" t="s">
        <v>1</v>
      </c>
      <c r="G8" s="35">
        <f>39*2</f>
        <v>78</v>
      </c>
      <c r="I8" s="47"/>
    </row>
    <row r="9" spans="3:9">
      <c r="E9" s="9">
        <f>E8</f>
        <v>20022</v>
      </c>
      <c r="F9" s="15" t="s">
        <v>2</v>
      </c>
      <c r="G9" s="35">
        <f>55*2</f>
        <v>110</v>
      </c>
      <c r="I9" s="47"/>
    </row>
    <row r="10" spans="3:9">
      <c r="E10" s="9">
        <f t="shared" ref="E10:E72" si="0">1+E9</f>
        <v>20023</v>
      </c>
      <c r="F10" s="15" t="s">
        <v>3</v>
      </c>
      <c r="G10" s="35">
        <f>9*500</f>
        <v>4500</v>
      </c>
      <c r="I10" s="47"/>
    </row>
    <row r="11" spans="3:9">
      <c r="E11" s="9">
        <f t="shared" si="0"/>
        <v>20024</v>
      </c>
      <c r="F11" s="15" t="s">
        <v>4</v>
      </c>
      <c r="G11" s="36">
        <f>1*500</f>
        <v>500</v>
      </c>
      <c r="I11" s="47"/>
    </row>
    <row r="12" spans="3:9">
      <c r="E12" s="9">
        <f t="shared" si="0"/>
        <v>20025</v>
      </c>
      <c r="F12" s="15" t="s">
        <v>5</v>
      </c>
      <c r="G12" s="36">
        <f>1*500</f>
        <v>500</v>
      </c>
      <c r="I12" s="47"/>
    </row>
    <row r="13" spans="3:9">
      <c r="E13" s="9">
        <f t="shared" si="0"/>
        <v>20026</v>
      </c>
      <c r="F13" s="15" t="s">
        <v>6</v>
      </c>
      <c r="G13" s="36">
        <f>1*50</f>
        <v>50</v>
      </c>
      <c r="I13" s="47"/>
    </row>
    <row r="14" spans="3:9">
      <c r="E14" s="9">
        <f t="shared" si="0"/>
        <v>20027</v>
      </c>
      <c r="F14" s="15" t="s">
        <v>7</v>
      </c>
      <c r="G14" s="36">
        <f>1*50</f>
        <v>50</v>
      </c>
      <c r="I14" s="47"/>
    </row>
    <row r="15" spans="3:9">
      <c r="E15" s="9">
        <f t="shared" si="0"/>
        <v>20028</v>
      </c>
      <c r="F15" s="15" t="s">
        <v>8</v>
      </c>
      <c r="G15" s="35">
        <f>9*250</f>
        <v>2250</v>
      </c>
      <c r="I15" s="47"/>
    </row>
    <row r="16" spans="3:9">
      <c r="E16" s="9">
        <f t="shared" si="0"/>
        <v>20029</v>
      </c>
      <c r="F16" s="15" t="s">
        <v>9</v>
      </c>
      <c r="G16" s="35">
        <f>9*250</f>
        <v>2250</v>
      </c>
      <c r="I16" s="47"/>
    </row>
    <row r="17" spans="5:9">
      <c r="E17" s="9">
        <f t="shared" si="0"/>
        <v>20030</v>
      </c>
      <c r="F17" s="15" t="s">
        <v>10</v>
      </c>
      <c r="G17" s="35">
        <f>12*200</f>
        <v>2400</v>
      </c>
      <c r="I17" s="47"/>
    </row>
    <row r="18" spans="5:9">
      <c r="E18" s="9">
        <f t="shared" si="0"/>
        <v>20031</v>
      </c>
      <c r="F18" s="15" t="s">
        <v>11</v>
      </c>
      <c r="G18" s="35">
        <f>11*200</f>
        <v>2200</v>
      </c>
      <c r="I18" s="47"/>
    </row>
    <row r="19" spans="5:9">
      <c r="E19" s="9">
        <f t="shared" si="0"/>
        <v>20032</v>
      </c>
      <c r="F19" s="15" t="s">
        <v>12</v>
      </c>
      <c r="G19" s="35">
        <f>23*3200+700</f>
        <v>74300</v>
      </c>
      <c r="I19" s="47"/>
    </row>
    <row r="20" spans="5:9">
      <c r="E20" s="9">
        <f t="shared" si="0"/>
        <v>20033</v>
      </c>
      <c r="F20" s="15" t="s">
        <v>13</v>
      </c>
      <c r="G20" s="35">
        <f>21*2000</f>
        <v>42000</v>
      </c>
      <c r="I20" s="47"/>
    </row>
    <row r="21" spans="5:9">
      <c r="E21" s="9">
        <f t="shared" si="0"/>
        <v>20034</v>
      </c>
      <c r="F21" s="15" t="s">
        <v>14</v>
      </c>
      <c r="G21" s="35">
        <f>16*2400+1600</f>
        <v>40000</v>
      </c>
      <c r="I21" s="47"/>
    </row>
    <row r="22" spans="5:9">
      <c r="E22" s="9">
        <f t="shared" si="0"/>
        <v>20035</v>
      </c>
      <c r="F22" s="15" t="s">
        <v>506</v>
      </c>
      <c r="G22" s="35">
        <f>32*100</f>
        <v>3200</v>
      </c>
      <c r="H22" s="48"/>
      <c r="I22" s="47"/>
    </row>
    <row r="23" spans="5:9">
      <c r="E23" s="9">
        <f t="shared" si="0"/>
        <v>20036</v>
      </c>
      <c r="F23" s="15" t="s">
        <v>15</v>
      </c>
      <c r="G23" s="35">
        <f>2*5000</f>
        <v>10000</v>
      </c>
      <c r="I23" s="47"/>
    </row>
    <row r="24" spans="5:9">
      <c r="E24" s="9">
        <f t="shared" si="0"/>
        <v>20037</v>
      </c>
      <c r="F24" s="15" t="s">
        <v>16</v>
      </c>
      <c r="G24" s="35">
        <f>4*5000</f>
        <v>20000</v>
      </c>
      <c r="I24" s="47"/>
    </row>
    <row r="25" spans="5:9">
      <c r="E25" s="9">
        <f t="shared" si="0"/>
        <v>20038</v>
      </c>
      <c r="F25" s="15" t="s">
        <v>17</v>
      </c>
      <c r="G25" s="35">
        <f>9*500</f>
        <v>4500</v>
      </c>
      <c r="I25" s="47"/>
    </row>
    <row r="26" spans="5:9">
      <c r="E26" s="9">
        <f t="shared" si="0"/>
        <v>20039</v>
      </c>
      <c r="F26" s="15" t="s">
        <v>18</v>
      </c>
      <c r="G26" s="35">
        <f>9*500</f>
        <v>4500</v>
      </c>
      <c r="I26" s="47"/>
    </row>
    <row r="27" spans="5:9">
      <c r="E27" s="9">
        <f t="shared" si="0"/>
        <v>20040</v>
      </c>
      <c r="F27" s="15" t="s">
        <v>19</v>
      </c>
      <c r="G27" s="35">
        <f>8*500</f>
        <v>4000</v>
      </c>
      <c r="I27" s="47"/>
    </row>
    <row r="28" spans="5:9">
      <c r="E28" s="9">
        <f t="shared" si="0"/>
        <v>20041</v>
      </c>
      <c r="F28" s="15" t="s">
        <v>20</v>
      </c>
      <c r="G28" s="35">
        <f>9*500</f>
        <v>4500</v>
      </c>
      <c r="I28" s="47"/>
    </row>
    <row r="29" spans="5:9">
      <c r="E29" s="9">
        <f t="shared" si="0"/>
        <v>20042</v>
      </c>
      <c r="F29" s="15" t="s">
        <v>21</v>
      </c>
      <c r="G29" s="35">
        <f>9*500</f>
        <v>4500</v>
      </c>
      <c r="I29" s="47"/>
    </row>
    <row r="30" spans="5:9">
      <c r="E30" s="9">
        <f t="shared" si="0"/>
        <v>20043</v>
      </c>
      <c r="F30" s="15" t="s">
        <v>22</v>
      </c>
      <c r="G30" s="35">
        <f t="shared" ref="G30:G35" si="1">1*100</f>
        <v>100</v>
      </c>
      <c r="I30" s="47"/>
    </row>
    <row r="31" spans="5:9">
      <c r="E31" s="9">
        <f t="shared" si="0"/>
        <v>20044</v>
      </c>
      <c r="F31" s="15" t="s">
        <v>23</v>
      </c>
      <c r="G31" s="35">
        <f t="shared" si="1"/>
        <v>100</v>
      </c>
      <c r="I31" s="47"/>
    </row>
    <row r="32" spans="5:9">
      <c r="E32" s="9">
        <f t="shared" si="0"/>
        <v>20045</v>
      </c>
      <c r="F32" s="15" t="s">
        <v>24</v>
      </c>
      <c r="G32" s="35">
        <f t="shared" si="1"/>
        <v>100</v>
      </c>
      <c r="I32" s="47"/>
    </row>
    <row r="33" spans="5:9">
      <c r="E33" s="9">
        <f t="shared" si="0"/>
        <v>20046</v>
      </c>
      <c r="F33" s="15" t="s">
        <v>25</v>
      </c>
      <c r="G33" s="35">
        <f t="shared" si="1"/>
        <v>100</v>
      </c>
      <c r="I33" s="47"/>
    </row>
    <row r="34" spans="5:9">
      <c r="E34" s="9">
        <f t="shared" si="0"/>
        <v>20047</v>
      </c>
      <c r="F34" s="15" t="s">
        <v>26</v>
      </c>
      <c r="G34" s="35">
        <f t="shared" si="1"/>
        <v>100</v>
      </c>
      <c r="I34" s="47"/>
    </row>
    <row r="35" spans="5:9">
      <c r="E35" s="9">
        <f t="shared" si="0"/>
        <v>20048</v>
      </c>
      <c r="F35" s="15" t="s">
        <v>27</v>
      </c>
      <c r="G35" s="35">
        <f t="shared" si="1"/>
        <v>100</v>
      </c>
      <c r="I35" s="47"/>
    </row>
    <row r="36" spans="5:9">
      <c r="E36" s="9">
        <f t="shared" si="0"/>
        <v>20049</v>
      </c>
      <c r="F36" s="15" t="s">
        <v>28</v>
      </c>
      <c r="G36" s="35">
        <f>2*100</f>
        <v>200</v>
      </c>
      <c r="I36" s="47"/>
    </row>
    <row r="37" spans="5:9">
      <c r="E37" s="9">
        <f t="shared" si="0"/>
        <v>20050</v>
      </c>
      <c r="F37" s="15" t="s">
        <v>29</v>
      </c>
      <c r="G37" s="35">
        <f>1*100</f>
        <v>100</v>
      </c>
      <c r="I37" s="47"/>
    </row>
    <row r="38" spans="5:9">
      <c r="E38" s="9">
        <f t="shared" si="0"/>
        <v>20051</v>
      </c>
      <c r="F38" s="15" t="s">
        <v>30</v>
      </c>
      <c r="G38" s="35">
        <f>2*100</f>
        <v>200</v>
      </c>
      <c r="I38" s="47"/>
    </row>
    <row r="39" spans="5:9">
      <c r="E39" s="9">
        <f t="shared" si="0"/>
        <v>20052</v>
      </c>
      <c r="F39" s="15" t="s">
        <v>31</v>
      </c>
      <c r="G39" s="35">
        <f>2*100</f>
        <v>200</v>
      </c>
      <c r="I39" s="47"/>
    </row>
    <row r="40" spans="5:9">
      <c r="E40" s="9">
        <f t="shared" si="0"/>
        <v>20053</v>
      </c>
      <c r="F40" s="15" t="s">
        <v>32</v>
      </c>
      <c r="G40" s="35">
        <f>2*100</f>
        <v>200</v>
      </c>
      <c r="I40" s="47"/>
    </row>
    <row r="41" spans="5:9">
      <c r="E41" s="9">
        <f t="shared" si="0"/>
        <v>20054</v>
      </c>
      <c r="F41" s="15" t="s">
        <v>33</v>
      </c>
      <c r="G41" s="35">
        <f>2*100</f>
        <v>200</v>
      </c>
      <c r="I41" s="47"/>
    </row>
    <row r="42" spans="5:9" s="6" customFormat="1" ht="229.5" customHeight="1">
      <c r="E42" s="10">
        <f t="shared" si="0"/>
        <v>20055</v>
      </c>
      <c r="F42" s="16" t="s">
        <v>34</v>
      </c>
      <c r="G42" s="37">
        <f>108*50</f>
        <v>5400</v>
      </c>
      <c r="H42" s="49"/>
      <c r="I42" s="50"/>
    </row>
    <row r="43" spans="5:9">
      <c r="E43" s="9">
        <f t="shared" si="0"/>
        <v>20056</v>
      </c>
      <c r="F43" s="15" t="s">
        <v>35</v>
      </c>
      <c r="G43" s="35">
        <v>21</v>
      </c>
      <c r="I43" s="47"/>
    </row>
    <row r="44" spans="5:9">
      <c r="E44" s="9">
        <f t="shared" si="0"/>
        <v>20057</v>
      </c>
      <c r="F44" s="15" t="s">
        <v>36</v>
      </c>
      <c r="G44" s="35">
        <f>4*5</f>
        <v>20</v>
      </c>
      <c r="I44" s="47"/>
    </row>
    <row r="45" spans="5:9">
      <c r="E45" s="9">
        <f t="shared" si="0"/>
        <v>20058</v>
      </c>
      <c r="F45" s="15" t="s">
        <v>37</v>
      </c>
      <c r="G45" s="35">
        <v>10</v>
      </c>
      <c r="I45" s="47"/>
    </row>
    <row r="46" spans="5:9">
      <c r="E46" s="9">
        <f t="shared" si="0"/>
        <v>20059</v>
      </c>
      <c r="F46" s="15" t="s">
        <v>38</v>
      </c>
      <c r="G46" s="35">
        <v>10</v>
      </c>
      <c r="I46" s="47"/>
    </row>
    <row r="47" spans="5:9">
      <c r="E47" s="9">
        <f t="shared" si="0"/>
        <v>20060</v>
      </c>
      <c r="F47" s="15" t="s">
        <v>39</v>
      </c>
      <c r="G47" s="35">
        <v>20</v>
      </c>
      <c r="I47" s="47"/>
    </row>
    <row r="48" spans="5:9">
      <c r="E48" s="9">
        <f t="shared" si="0"/>
        <v>20061</v>
      </c>
      <c r="F48" s="15" t="s">
        <v>40</v>
      </c>
      <c r="G48" s="35">
        <v>10</v>
      </c>
      <c r="I48" s="47"/>
    </row>
    <row r="49" spans="5:9">
      <c r="E49" s="9">
        <f t="shared" si="0"/>
        <v>20062</v>
      </c>
      <c r="F49" s="15" t="s">
        <v>41</v>
      </c>
      <c r="G49" s="35">
        <f>55*2</f>
        <v>110</v>
      </c>
      <c r="I49" s="47"/>
    </row>
    <row r="50" spans="5:9">
      <c r="E50" s="9">
        <f t="shared" si="0"/>
        <v>20063</v>
      </c>
      <c r="F50" s="15" t="s">
        <v>42</v>
      </c>
      <c r="G50" s="35">
        <f>42*4</f>
        <v>168</v>
      </c>
      <c r="I50" s="47"/>
    </row>
    <row r="51" spans="5:9">
      <c r="E51" s="9">
        <f t="shared" si="0"/>
        <v>20064</v>
      </c>
      <c r="F51" s="15" t="s">
        <v>414</v>
      </c>
      <c r="G51" s="35">
        <f>500*20</f>
        <v>10000</v>
      </c>
      <c r="I51" s="47"/>
    </row>
    <row r="52" spans="5:9">
      <c r="E52" s="9">
        <f t="shared" si="0"/>
        <v>20065</v>
      </c>
      <c r="F52" s="15" t="s">
        <v>43</v>
      </c>
      <c r="G52" s="35">
        <v>1369</v>
      </c>
      <c r="I52" s="47"/>
    </row>
    <row r="53" spans="5:9">
      <c r="E53" s="9">
        <f t="shared" si="0"/>
        <v>20066</v>
      </c>
      <c r="F53" s="17" t="s">
        <v>44</v>
      </c>
      <c r="G53" s="35">
        <f>37+50</f>
        <v>87</v>
      </c>
      <c r="I53" s="47"/>
    </row>
    <row r="54" spans="5:9">
      <c r="E54" s="9">
        <f t="shared" si="0"/>
        <v>20067</v>
      </c>
      <c r="F54" s="15" t="s">
        <v>45</v>
      </c>
      <c r="G54" s="35">
        <v>1600</v>
      </c>
      <c r="I54" s="47"/>
    </row>
    <row r="55" spans="5:9">
      <c r="E55" s="9">
        <f t="shared" si="0"/>
        <v>20068</v>
      </c>
      <c r="F55" s="15" t="s">
        <v>479</v>
      </c>
      <c r="G55" s="35">
        <v>1020</v>
      </c>
      <c r="I55" s="47"/>
    </row>
    <row r="56" spans="5:9">
      <c r="E56" s="9">
        <f t="shared" si="0"/>
        <v>20069</v>
      </c>
      <c r="F56" s="15" t="s">
        <v>480</v>
      </c>
      <c r="G56" s="35">
        <v>480</v>
      </c>
      <c r="I56" s="47"/>
    </row>
    <row r="57" spans="5:9">
      <c r="E57" s="9">
        <f t="shared" si="0"/>
        <v>20070</v>
      </c>
      <c r="F57" s="15" t="s">
        <v>481</v>
      </c>
      <c r="G57" s="35">
        <f>840+30</f>
        <v>870</v>
      </c>
      <c r="I57" s="47"/>
    </row>
    <row r="58" spans="5:9">
      <c r="E58" s="9">
        <f t="shared" si="0"/>
        <v>20071</v>
      </c>
      <c r="F58" s="15" t="s">
        <v>482</v>
      </c>
      <c r="G58" s="35">
        <f>720+38</f>
        <v>758</v>
      </c>
      <c r="I58" s="47"/>
    </row>
    <row r="59" spans="5:9">
      <c r="E59" s="9">
        <f t="shared" si="0"/>
        <v>20072</v>
      </c>
      <c r="F59" s="15" t="s">
        <v>483</v>
      </c>
      <c r="G59" s="35">
        <v>720</v>
      </c>
      <c r="I59" s="47"/>
    </row>
    <row r="60" spans="5:9">
      <c r="E60" s="9">
        <f t="shared" si="0"/>
        <v>20073</v>
      </c>
      <c r="F60" s="15" t="s">
        <v>51</v>
      </c>
      <c r="G60" s="35">
        <f>174*500</f>
        <v>87000</v>
      </c>
      <c r="I60" s="47"/>
    </row>
    <row r="61" spans="5:9">
      <c r="E61" s="9">
        <f t="shared" si="0"/>
        <v>20074</v>
      </c>
      <c r="F61" s="15" t="s">
        <v>52</v>
      </c>
      <c r="G61" s="35">
        <f>179*500</f>
        <v>89500</v>
      </c>
      <c r="I61" s="47"/>
    </row>
    <row r="62" spans="5:9">
      <c r="E62" s="9">
        <f t="shared" si="0"/>
        <v>20075</v>
      </c>
      <c r="F62" s="15" t="s">
        <v>53</v>
      </c>
      <c r="G62" s="35">
        <f>150*400</f>
        <v>60000</v>
      </c>
      <c r="I62" s="47"/>
    </row>
    <row r="63" spans="5:9">
      <c r="E63" s="9">
        <f t="shared" si="0"/>
        <v>20076</v>
      </c>
      <c r="F63" s="15" t="s">
        <v>54</v>
      </c>
      <c r="G63" s="35">
        <f>15*200</f>
        <v>3000</v>
      </c>
      <c r="I63" s="47"/>
    </row>
    <row r="64" spans="5:9">
      <c r="E64" s="9">
        <f t="shared" si="0"/>
        <v>20077</v>
      </c>
      <c r="F64" s="15" t="s">
        <v>55</v>
      </c>
      <c r="G64" s="35">
        <f>3000+260</f>
        <v>3260</v>
      </c>
      <c r="I64" s="47"/>
    </row>
    <row r="65" spans="5:9">
      <c r="E65" s="9">
        <f t="shared" si="0"/>
        <v>20078</v>
      </c>
      <c r="F65" s="28" t="s">
        <v>56</v>
      </c>
      <c r="G65" s="35">
        <v>980</v>
      </c>
      <c r="I65" s="47"/>
    </row>
    <row r="66" spans="5:9">
      <c r="E66" s="9">
        <f t="shared" si="0"/>
        <v>20079</v>
      </c>
      <c r="F66" s="28" t="s">
        <v>57</v>
      </c>
      <c r="G66" s="35">
        <v>1000</v>
      </c>
      <c r="I66" s="47"/>
    </row>
    <row r="67" spans="5:9">
      <c r="E67" s="9">
        <f t="shared" si="0"/>
        <v>20080</v>
      </c>
      <c r="F67" s="28" t="s">
        <v>58</v>
      </c>
      <c r="G67" s="35">
        <v>1000</v>
      </c>
      <c r="I67" s="47"/>
    </row>
    <row r="68" spans="5:9">
      <c r="E68" s="9">
        <f t="shared" si="0"/>
        <v>20081</v>
      </c>
      <c r="F68" s="28" t="s">
        <v>59</v>
      </c>
      <c r="G68" s="35">
        <v>1000</v>
      </c>
      <c r="I68" s="47"/>
    </row>
    <row r="69" spans="5:9">
      <c r="E69" s="9">
        <f t="shared" si="0"/>
        <v>20082</v>
      </c>
      <c r="F69" s="28" t="s">
        <v>60</v>
      </c>
      <c r="G69" s="35">
        <v>1000</v>
      </c>
      <c r="I69" s="47"/>
    </row>
    <row r="70" spans="5:9">
      <c r="E70" s="9">
        <f t="shared" si="0"/>
        <v>20083</v>
      </c>
      <c r="F70" s="28" t="s">
        <v>61</v>
      </c>
      <c r="G70" s="35">
        <v>1200</v>
      </c>
      <c r="I70" s="47"/>
    </row>
    <row r="71" spans="5:9">
      <c r="E71" s="9">
        <f t="shared" si="0"/>
        <v>20084</v>
      </c>
      <c r="F71" s="28" t="s">
        <v>62</v>
      </c>
      <c r="G71" s="35">
        <v>1200</v>
      </c>
      <c r="I71" s="47"/>
    </row>
    <row r="72" spans="5:9">
      <c r="E72" s="9">
        <f t="shared" si="0"/>
        <v>20085</v>
      </c>
      <c r="F72" s="28" t="s">
        <v>63</v>
      </c>
      <c r="G72" s="35">
        <v>1200</v>
      </c>
      <c r="I72" s="47"/>
    </row>
    <row r="73" spans="5:9">
      <c r="E73" s="9">
        <f t="shared" ref="E73:E136" si="2">1+E72</f>
        <v>20086</v>
      </c>
      <c r="F73" s="28" t="s">
        <v>64</v>
      </c>
      <c r="G73" s="35">
        <v>1200</v>
      </c>
      <c r="I73" s="47"/>
    </row>
    <row r="74" spans="5:9" s="6" customFormat="1" ht="173.25" customHeight="1">
      <c r="E74" s="11">
        <f t="shared" si="2"/>
        <v>20087</v>
      </c>
      <c r="F74" s="16" t="s">
        <v>65</v>
      </c>
      <c r="G74" s="37">
        <f>46*46</f>
        <v>2116</v>
      </c>
      <c r="I74" s="50"/>
    </row>
    <row r="75" spans="5:9">
      <c r="E75" s="9">
        <f t="shared" si="2"/>
        <v>20088</v>
      </c>
      <c r="F75" s="15" t="s">
        <v>66</v>
      </c>
      <c r="G75" s="35">
        <v>1000</v>
      </c>
      <c r="I75" s="47"/>
    </row>
    <row r="76" spans="5:9">
      <c r="E76" s="9">
        <f t="shared" si="2"/>
        <v>20089</v>
      </c>
      <c r="F76" s="15" t="s">
        <v>67</v>
      </c>
      <c r="G76" s="35">
        <f>2000+1200+100</f>
        <v>3300</v>
      </c>
      <c r="I76" s="47"/>
    </row>
    <row r="77" spans="5:9">
      <c r="E77" s="9">
        <f t="shared" si="2"/>
        <v>20090</v>
      </c>
      <c r="F77" s="15" t="s">
        <v>68</v>
      </c>
      <c r="G77" s="35">
        <v>500</v>
      </c>
      <c r="I77" s="47"/>
    </row>
    <row r="78" spans="5:9">
      <c r="E78" s="9">
        <f t="shared" si="2"/>
        <v>20091</v>
      </c>
      <c r="F78" s="15" t="s">
        <v>69</v>
      </c>
      <c r="G78" s="35">
        <v>1000</v>
      </c>
      <c r="I78" s="47"/>
    </row>
    <row r="79" spans="5:9">
      <c r="E79" s="9">
        <f t="shared" si="2"/>
        <v>20092</v>
      </c>
      <c r="F79" s="15" t="s">
        <v>70</v>
      </c>
      <c r="G79" s="35">
        <v>500</v>
      </c>
      <c r="I79" s="47"/>
    </row>
    <row r="80" spans="5:9">
      <c r="E80" s="9">
        <f t="shared" si="2"/>
        <v>20093</v>
      </c>
      <c r="F80" s="15" t="s">
        <v>71</v>
      </c>
      <c r="G80" s="35">
        <v>500</v>
      </c>
      <c r="I80" s="47"/>
    </row>
    <row r="81" spans="5:9">
      <c r="E81" s="9">
        <f t="shared" si="2"/>
        <v>20094</v>
      </c>
      <c r="F81" s="15" t="s">
        <v>72</v>
      </c>
      <c r="G81" s="35">
        <v>500</v>
      </c>
      <c r="I81" s="47"/>
    </row>
    <row r="82" spans="5:9">
      <c r="E82" s="9">
        <f t="shared" si="2"/>
        <v>20095</v>
      </c>
      <c r="F82" s="15" t="s">
        <v>73</v>
      </c>
      <c r="G82" s="35">
        <v>42</v>
      </c>
      <c r="I82" s="47"/>
    </row>
    <row r="83" spans="5:9">
      <c r="E83" s="9">
        <f t="shared" si="2"/>
        <v>20096</v>
      </c>
      <c r="F83" s="15" t="s">
        <v>74</v>
      </c>
      <c r="G83" s="35">
        <v>480</v>
      </c>
      <c r="I83" s="47"/>
    </row>
    <row r="84" spans="5:9">
      <c r="E84" s="9">
        <f t="shared" si="2"/>
        <v>20097</v>
      </c>
      <c r="F84" s="15" t="s">
        <v>75</v>
      </c>
      <c r="G84" s="35">
        <v>500</v>
      </c>
      <c r="I84" s="47"/>
    </row>
    <row r="85" spans="5:9">
      <c r="E85" s="9">
        <f t="shared" si="2"/>
        <v>20098</v>
      </c>
      <c r="F85" s="15" t="s">
        <v>76</v>
      </c>
      <c r="G85" s="35">
        <v>296</v>
      </c>
      <c r="I85" s="47"/>
    </row>
    <row r="86" spans="5:9">
      <c r="E86" s="9">
        <f t="shared" si="2"/>
        <v>20099</v>
      </c>
      <c r="F86" s="15" t="s">
        <v>77</v>
      </c>
      <c r="G86" s="35">
        <v>500</v>
      </c>
      <c r="I86" s="47"/>
    </row>
    <row r="87" spans="5:9">
      <c r="E87" s="9">
        <f t="shared" si="2"/>
        <v>20100</v>
      </c>
      <c r="F87" s="15" t="s">
        <v>78</v>
      </c>
      <c r="G87" s="35">
        <v>300</v>
      </c>
      <c r="I87" s="47"/>
    </row>
    <row r="88" spans="5:9">
      <c r="E88" s="9">
        <f t="shared" si="2"/>
        <v>20101</v>
      </c>
      <c r="F88" s="15" t="s">
        <v>79</v>
      </c>
      <c r="G88" s="35">
        <v>280</v>
      </c>
      <c r="I88" s="47"/>
    </row>
    <row r="89" spans="5:9">
      <c r="E89" s="9">
        <f t="shared" si="2"/>
        <v>20102</v>
      </c>
      <c r="F89" s="15" t="s">
        <v>80</v>
      </c>
      <c r="G89" s="35">
        <v>500</v>
      </c>
      <c r="I89" s="47"/>
    </row>
    <row r="90" spans="5:9">
      <c r="E90" s="9">
        <f t="shared" si="2"/>
        <v>20103</v>
      </c>
      <c r="F90" s="15" t="s">
        <v>81</v>
      </c>
      <c r="G90" s="35">
        <v>500</v>
      </c>
      <c r="I90" s="47"/>
    </row>
    <row r="91" spans="5:9">
      <c r="E91" s="9">
        <f t="shared" si="2"/>
        <v>20104</v>
      </c>
      <c r="F91" s="15" t="s">
        <v>82</v>
      </c>
      <c r="G91" s="35">
        <v>300</v>
      </c>
      <c r="I91" s="47"/>
    </row>
    <row r="92" spans="5:9">
      <c r="E92" s="9">
        <f t="shared" si="2"/>
        <v>20105</v>
      </c>
      <c r="F92" s="15" t="s">
        <v>83</v>
      </c>
      <c r="G92" s="35">
        <v>500</v>
      </c>
      <c r="I92" s="47"/>
    </row>
    <row r="93" spans="5:9">
      <c r="E93" s="9">
        <f t="shared" si="2"/>
        <v>20106</v>
      </c>
      <c r="F93" s="15" t="s">
        <v>84</v>
      </c>
      <c r="G93" s="35">
        <v>300</v>
      </c>
      <c r="I93" s="47"/>
    </row>
    <row r="94" spans="5:9">
      <c r="E94" s="9">
        <f t="shared" si="2"/>
        <v>20107</v>
      </c>
      <c r="F94" s="15" t="s">
        <v>85</v>
      </c>
      <c r="G94" s="35">
        <v>200</v>
      </c>
      <c r="I94" s="47"/>
    </row>
    <row r="95" spans="5:9">
      <c r="E95" s="9">
        <f t="shared" si="2"/>
        <v>20108</v>
      </c>
      <c r="F95" s="15" t="s">
        <v>86</v>
      </c>
      <c r="G95" s="35">
        <v>400</v>
      </c>
      <c r="I95" s="47"/>
    </row>
    <row r="96" spans="5:9">
      <c r="E96" s="9">
        <f t="shared" si="2"/>
        <v>20109</v>
      </c>
      <c r="F96" s="15" t="s">
        <v>87</v>
      </c>
      <c r="G96" s="35">
        <v>400</v>
      </c>
      <c r="I96" s="47"/>
    </row>
    <row r="97" spans="5:9">
      <c r="E97" s="9">
        <f t="shared" si="2"/>
        <v>20110</v>
      </c>
      <c r="F97" s="15" t="s">
        <v>88</v>
      </c>
      <c r="G97" s="35">
        <v>400</v>
      </c>
      <c r="I97" s="47"/>
    </row>
    <row r="98" spans="5:9">
      <c r="E98" s="9">
        <f t="shared" si="2"/>
        <v>20111</v>
      </c>
      <c r="F98" s="18" t="s">
        <v>89</v>
      </c>
      <c r="G98" s="38">
        <v>300</v>
      </c>
      <c r="I98" s="47"/>
    </row>
    <row r="99" spans="5:9">
      <c r="E99" s="9">
        <f t="shared" si="2"/>
        <v>20112</v>
      </c>
      <c r="F99" s="18" t="s">
        <v>90</v>
      </c>
      <c r="G99" s="38">
        <v>300</v>
      </c>
      <c r="I99" s="47"/>
    </row>
    <row r="100" spans="5:9">
      <c r="E100" s="9">
        <f t="shared" si="2"/>
        <v>20113</v>
      </c>
      <c r="F100" s="18" t="s">
        <v>91</v>
      </c>
      <c r="G100" s="38">
        <v>400</v>
      </c>
      <c r="I100" s="47"/>
    </row>
    <row r="101" spans="5:9">
      <c r="E101" s="9">
        <f t="shared" si="2"/>
        <v>20114</v>
      </c>
      <c r="F101" s="18" t="s">
        <v>92</v>
      </c>
      <c r="G101" s="38">
        <v>100</v>
      </c>
      <c r="I101" s="47"/>
    </row>
    <row r="102" spans="5:9">
      <c r="E102" s="9">
        <f t="shared" si="2"/>
        <v>20115</v>
      </c>
      <c r="F102" s="18" t="s">
        <v>93</v>
      </c>
      <c r="G102" s="38">
        <v>500</v>
      </c>
      <c r="I102" s="47"/>
    </row>
    <row r="103" spans="5:9">
      <c r="E103" s="9">
        <f t="shared" si="2"/>
        <v>20116</v>
      </c>
      <c r="F103" s="18" t="s">
        <v>94</v>
      </c>
      <c r="G103" s="38">
        <v>300</v>
      </c>
      <c r="I103" s="47"/>
    </row>
    <row r="104" spans="5:9">
      <c r="E104" s="9">
        <f t="shared" si="2"/>
        <v>20117</v>
      </c>
      <c r="F104" s="18" t="s">
        <v>95</v>
      </c>
      <c r="G104" s="38">
        <v>320</v>
      </c>
      <c r="I104" s="47"/>
    </row>
    <row r="105" spans="5:9">
      <c r="E105" s="9">
        <f t="shared" si="2"/>
        <v>20118</v>
      </c>
      <c r="F105" s="18" t="s">
        <v>96</v>
      </c>
      <c r="G105" s="38">
        <v>500</v>
      </c>
      <c r="I105" s="47"/>
    </row>
    <row r="106" spans="5:9">
      <c r="E106" s="9">
        <f t="shared" si="2"/>
        <v>20119</v>
      </c>
      <c r="F106" s="18" t="s">
        <v>97</v>
      </c>
      <c r="G106" s="38">
        <v>300</v>
      </c>
      <c r="I106" s="47"/>
    </row>
    <row r="107" spans="5:9">
      <c r="E107" s="9">
        <f t="shared" si="2"/>
        <v>20120</v>
      </c>
      <c r="F107" s="18" t="s">
        <v>98</v>
      </c>
      <c r="G107" s="38">
        <v>100</v>
      </c>
      <c r="I107" s="47"/>
    </row>
    <row r="108" spans="5:9">
      <c r="E108" s="9">
        <f t="shared" si="2"/>
        <v>20121</v>
      </c>
      <c r="F108" s="18" t="s">
        <v>99</v>
      </c>
      <c r="G108" s="38">
        <v>300</v>
      </c>
      <c r="I108" s="47"/>
    </row>
    <row r="109" spans="5:9">
      <c r="E109" s="9">
        <f t="shared" si="2"/>
        <v>20122</v>
      </c>
      <c r="F109" s="18" t="s">
        <v>100</v>
      </c>
      <c r="G109" s="38">
        <v>300</v>
      </c>
      <c r="I109" s="47"/>
    </row>
    <row r="110" spans="5:9">
      <c r="E110" s="9">
        <f t="shared" si="2"/>
        <v>20123</v>
      </c>
      <c r="F110" s="18" t="s">
        <v>101</v>
      </c>
      <c r="G110" s="38">
        <v>480</v>
      </c>
      <c r="I110" s="47"/>
    </row>
    <row r="111" spans="5:9">
      <c r="E111" s="9">
        <f t="shared" si="2"/>
        <v>20124</v>
      </c>
      <c r="F111" s="18" t="s">
        <v>417</v>
      </c>
      <c r="G111" s="38">
        <v>440</v>
      </c>
      <c r="I111" s="47"/>
    </row>
    <row r="112" spans="5:9">
      <c r="E112" s="9">
        <f t="shared" si="2"/>
        <v>20125</v>
      </c>
      <c r="F112" s="18" t="s">
        <v>416</v>
      </c>
      <c r="G112" s="38">
        <v>460</v>
      </c>
      <c r="I112" s="47"/>
    </row>
    <row r="113" spans="5:9">
      <c r="E113" s="9">
        <f t="shared" si="2"/>
        <v>20126</v>
      </c>
      <c r="F113" s="18" t="s">
        <v>102</v>
      </c>
      <c r="G113" s="38">
        <v>9850</v>
      </c>
      <c r="I113" s="47"/>
    </row>
    <row r="114" spans="5:9">
      <c r="E114" s="9">
        <f t="shared" si="2"/>
        <v>20127</v>
      </c>
      <c r="F114" s="18" t="s">
        <v>418</v>
      </c>
      <c r="G114" s="38">
        <v>300</v>
      </c>
      <c r="I114" s="47"/>
    </row>
    <row r="115" spans="5:9">
      <c r="E115" s="9">
        <f t="shared" si="2"/>
        <v>20128</v>
      </c>
      <c r="F115" s="18" t="s">
        <v>419</v>
      </c>
      <c r="G115" s="38">
        <v>300</v>
      </c>
      <c r="I115" s="47"/>
    </row>
    <row r="116" spans="5:9">
      <c r="E116" s="9">
        <f t="shared" si="2"/>
        <v>20129</v>
      </c>
      <c r="F116" s="18" t="s">
        <v>420</v>
      </c>
      <c r="G116" s="38">
        <v>500</v>
      </c>
      <c r="I116" s="47"/>
    </row>
    <row r="117" spans="5:9">
      <c r="E117" s="9">
        <f t="shared" si="2"/>
        <v>20130</v>
      </c>
      <c r="F117" s="18" t="s">
        <v>421</v>
      </c>
      <c r="G117" s="38">
        <v>500</v>
      </c>
      <c r="I117" s="47"/>
    </row>
    <row r="118" spans="5:9">
      <c r="E118" s="9">
        <f t="shared" si="2"/>
        <v>20131</v>
      </c>
      <c r="F118" s="18" t="s">
        <v>422</v>
      </c>
      <c r="G118" s="38">
        <v>500</v>
      </c>
      <c r="I118" s="47"/>
    </row>
    <row r="119" spans="5:9">
      <c r="E119" s="9">
        <f t="shared" si="2"/>
        <v>20132</v>
      </c>
      <c r="F119" s="18" t="s">
        <v>423</v>
      </c>
      <c r="G119" s="38">
        <v>500</v>
      </c>
      <c r="I119" s="47"/>
    </row>
    <row r="120" spans="5:9">
      <c r="E120" s="9">
        <f t="shared" si="2"/>
        <v>20133</v>
      </c>
      <c r="F120" s="18" t="s">
        <v>424</v>
      </c>
      <c r="G120" s="38">
        <v>500</v>
      </c>
      <c r="I120" s="47"/>
    </row>
    <row r="121" spans="5:9">
      <c r="E121" s="9">
        <f t="shared" si="2"/>
        <v>20134</v>
      </c>
      <c r="F121" s="18" t="s">
        <v>425</v>
      </c>
      <c r="G121" s="38">
        <v>300</v>
      </c>
      <c r="I121" s="47"/>
    </row>
    <row r="122" spans="5:9">
      <c r="E122" s="9">
        <f t="shared" si="2"/>
        <v>20135</v>
      </c>
      <c r="F122" s="18" t="s">
        <v>426</v>
      </c>
      <c r="G122" s="38">
        <v>500</v>
      </c>
      <c r="I122" s="47"/>
    </row>
    <row r="123" spans="5:9">
      <c r="E123" s="9">
        <f t="shared" si="2"/>
        <v>20136</v>
      </c>
      <c r="F123" s="18" t="s">
        <v>427</v>
      </c>
      <c r="G123" s="38">
        <v>500</v>
      </c>
      <c r="I123" s="47"/>
    </row>
    <row r="124" spans="5:9">
      <c r="E124" s="9">
        <f t="shared" si="2"/>
        <v>20137</v>
      </c>
      <c r="F124" s="18" t="s">
        <v>428</v>
      </c>
      <c r="G124" s="38">
        <v>300</v>
      </c>
      <c r="I124" s="47"/>
    </row>
    <row r="125" spans="5:9">
      <c r="E125" s="9">
        <f t="shared" si="2"/>
        <v>20138</v>
      </c>
      <c r="F125" s="18" t="s">
        <v>429</v>
      </c>
      <c r="G125" s="38">
        <v>500</v>
      </c>
      <c r="I125" s="47"/>
    </row>
    <row r="126" spans="5:9">
      <c r="E126" s="9">
        <f t="shared" si="2"/>
        <v>20139</v>
      </c>
      <c r="F126" s="18" t="s">
        <v>430</v>
      </c>
      <c r="G126" s="38">
        <v>300</v>
      </c>
      <c r="I126" s="47"/>
    </row>
    <row r="127" spans="5:9">
      <c r="E127" s="9">
        <f t="shared" si="2"/>
        <v>20140</v>
      </c>
      <c r="F127" s="18" t="s">
        <v>431</v>
      </c>
      <c r="G127" s="38">
        <v>400</v>
      </c>
      <c r="I127" s="47"/>
    </row>
    <row r="128" spans="5:9">
      <c r="E128" s="9">
        <f t="shared" si="2"/>
        <v>20141</v>
      </c>
      <c r="F128" s="18" t="s">
        <v>432</v>
      </c>
      <c r="G128" s="38">
        <v>300</v>
      </c>
      <c r="I128" s="47"/>
    </row>
    <row r="129" spans="5:9">
      <c r="E129" s="9">
        <f t="shared" si="2"/>
        <v>20142</v>
      </c>
      <c r="F129" s="18" t="s">
        <v>103</v>
      </c>
      <c r="G129" s="38">
        <v>300</v>
      </c>
      <c r="I129" s="47"/>
    </row>
    <row r="130" spans="5:9">
      <c r="E130" s="9">
        <f t="shared" si="2"/>
        <v>20143</v>
      </c>
      <c r="F130" s="18" t="s">
        <v>104</v>
      </c>
      <c r="G130" s="38">
        <v>500</v>
      </c>
      <c r="I130" s="47"/>
    </row>
    <row r="131" spans="5:9">
      <c r="E131" s="9">
        <f t="shared" si="2"/>
        <v>20144</v>
      </c>
      <c r="F131" s="18" t="s">
        <v>105</v>
      </c>
      <c r="G131" s="38">
        <v>500</v>
      </c>
      <c r="I131" s="47"/>
    </row>
    <row r="132" spans="5:9">
      <c r="E132" s="9">
        <f t="shared" si="2"/>
        <v>20145</v>
      </c>
      <c r="F132" s="18" t="s">
        <v>106</v>
      </c>
      <c r="G132" s="38">
        <v>500</v>
      </c>
      <c r="I132" s="47"/>
    </row>
    <row r="133" spans="5:9">
      <c r="E133" s="9">
        <f t="shared" si="2"/>
        <v>20146</v>
      </c>
      <c r="F133" s="18" t="s">
        <v>107</v>
      </c>
      <c r="G133" s="38">
        <v>500</v>
      </c>
      <c r="I133" s="47"/>
    </row>
    <row r="134" spans="5:9">
      <c r="E134" s="9">
        <f t="shared" si="2"/>
        <v>20147</v>
      </c>
      <c r="F134" s="18" t="s">
        <v>108</v>
      </c>
      <c r="G134" s="38">
        <v>500</v>
      </c>
      <c r="I134" s="47"/>
    </row>
    <row r="135" spans="5:9">
      <c r="E135" s="9">
        <f t="shared" si="2"/>
        <v>20148</v>
      </c>
      <c r="F135" s="18" t="s">
        <v>109</v>
      </c>
      <c r="G135" s="38">
        <v>400</v>
      </c>
      <c r="I135" s="47"/>
    </row>
    <row r="136" spans="5:9">
      <c r="E136" s="9">
        <f t="shared" si="2"/>
        <v>20149</v>
      </c>
      <c r="F136" s="18" t="s">
        <v>110</v>
      </c>
      <c r="G136" s="38">
        <v>500</v>
      </c>
      <c r="I136" s="47"/>
    </row>
    <row r="137" spans="5:9">
      <c r="E137" s="9">
        <f t="shared" ref="E137:E200" si="3">1+E136</f>
        <v>20150</v>
      </c>
      <c r="F137" s="18" t="s">
        <v>111</v>
      </c>
      <c r="G137" s="38">
        <v>500</v>
      </c>
      <c r="I137" s="47"/>
    </row>
    <row r="138" spans="5:9">
      <c r="E138" s="9">
        <f t="shared" si="3"/>
        <v>20151</v>
      </c>
      <c r="F138" s="18" t="s">
        <v>112</v>
      </c>
      <c r="G138" s="38">
        <v>500</v>
      </c>
      <c r="I138" s="47"/>
    </row>
    <row r="139" spans="5:9">
      <c r="E139" s="9">
        <f t="shared" si="3"/>
        <v>20152</v>
      </c>
      <c r="F139" s="18" t="s">
        <v>113</v>
      </c>
      <c r="G139" s="38">
        <v>300</v>
      </c>
      <c r="I139" s="47"/>
    </row>
    <row r="140" spans="5:9">
      <c r="E140" s="9">
        <f t="shared" si="3"/>
        <v>20153</v>
      </c>
      <c r="F140" s="18" t="s">
        <v>114</v>
      </c>
      <c r="G140" s="38">
        <v>500</v>
      </c>
      <c r="I140" s="47"/>
    </row>
    <row r="141" spans="5:9">
      <c r="E141" s="9">
        <f t="shared" si="3"/>
        <v>20154</v>
      </c>
      <c r="F141" s="18" t="s">
        <v>115</v>
      </c>
      <c r="G141" s="38">
        <v>500</v>
      </c>
      <c r="I141" s="47"/>
    </row>
    <row r="142" spans="5:9">
      <c r="E142" s="9">
        <f t="shared" si="3"/>
        <v>20155</v>
      </c>
      <c r="F142" s="18" t="s">
        <v>116</v>
      </c>
      <c r="G142" s="38">
        <v>300</v>
      </c>
      <c r="I142" s="47"/>
    </row>
    <row r="143" spans="5:9">
      <c r="E143" s="9">
        <f t="shared" si="3"/>
        <v>20156</v>
      </c>
      <c r="F143" s="18" t="s">
        <v>117</v>
      </c>
      <c r="G143" s="38">
        <v>400</v>
      </c>
      <c r="I143" s="47"/>
    </row>
    <row r="144" spans="5:9">
      <c r="E144" s="9">
        <f t="shared" si="3"/>
        <v>20157</v>
      </c>
      <c r="F144" s="18" t="s">
        <v>118</v>
      </c>
      <c r="G144" s="38">
        <v>500</v>
      </c>
      <c r="I144" s="47"/>
    </row>
    <row r="145" spans="5:9">
      <c r="E145" s="9">
        <f t="shared" si="3"/>
        <v>20158</v>
      </c>
      <c r="F145" s="18" t="s">
        <v>119</v>
      </c>
      <c r="G145" s="38">
        <v>500</v>
      </c>
      <c r="I145" s="47"/>
    </row>
    <row r="146" spans="5:9">
      <c r="E146" s="9">
        <f t="shared" si="3"/>
        <v>20159</v>
      </c>
      <c r="F146" s="18" t="s">
        <v>120</v>
      </c>
      <c r="G146" s="38">
        <v>500</v>
      </c>
      <c r="I146" s="47"/>
    </row>
    <row r="147" spans="5:9">
      <c r="E147" s="9">
        <f t="shared" si="3"/>
        <v>20160</v>
      </c>
      <c r="F147" s="18" t="s">
        <v>121</v>
      </c>
      <c r="G147" s="38">
        <v>500</v>
      </c>
      <c r="I147" s="47"/>
    </row>
    <row r="148" spans="5:9">
      <c r="E148" s="9">
        <f t="shared" si="3"/>
        <v>20161</v>
      </c>
      <c r="F148" s="18" t="s">
        <v>122</v>
      </c>
      <c r="G148" s="38">
        <v>300</v>
      </c>
      <c r="I148" s="47"/>
    </row>
    <row r="149" spans="5:9">
      <c r="E149" s="9">
        <f t="shared" si="3"/>
        <v>20162</v>
      </c>
      <c r="F149" s="18" t="s">
        <v>123</v>
      </c>
      <c r="G149" s="38">
        <v>260</v>
      </c>
      <c r="I149" s="47"/>
    </row>
    <row r="150" spans="5:9">
      <c r="E150" s="9">
        <f t="shared" si="3"/>
        <v>20163</v>
      </c>
      <c r="F150" s="18" t="s">
        <v>124</v>
      </c>
      <c r="G150" s="38">
        <v>460</v>
      </c>
      <c r="I150" s="47"/>
    </row>
    <row r="151" spans="5:9">
      <c r="E151" s="9">
        <f t="shared" si="3"/>
        <v>20164</v>
      </c>
      <c r="F151" s="18" t="s">
        <v>125</v>
      </c>
      <c r="G151" s="38">
        <v>260</v>
      </c>
      <c r="I151" s="47"/>
    </row>
    <row r="152" spans="5:9">
      <c r="E152" s="9">
        <f t="shared" si="3"/>
        <v>20165</v>
      </c>
      <c r="F152" s="18" t="s">
        <v>126</v>
      </c>
      <c r="G152" s="38">
        <v>160</v>
      </c>
      <c r="I152" s="47"/>
    </row>
    <row r="153" spans="5:9">
      <c r="E153" s="9">
        <f t="shared" si="3"/>
        <v>20166</v>
      </c>
      <c r="F153" s="18" t="s">
        <v>127</v>
      </c>
      <c r="G153" s="38">
        <v>460</v>
      </c>
      <c r="I153" s="47"/>
    </row>
    <row r="154" spans="5:9">
      <c r="E154" s="9">
        <f t="shared" si="3"/>
        <v>20167</v>
      </c>
      <c r="F154" s="18" t="s">
        <v>128</v>
      </c>
      <c r="G154" s="38">
        <v>460</v>
      </c>
      <c r="I154" s="47"/>
    </row>
    <row r="155" spans="5:9">
      <c r="E155" s="9">
        <f t="shared" si="3"/>
        <v>20168</v>
      </c>
      <c r="F155" s="18" t="s">
        <v>129</v>
      </c>
      <c r="G155" s="38">
        <v>500</v>
      </c>
      <c r="I155" s="47"/>
    </row>
    <row r="156" spans="5:9">
      <c r="E156" s="9">
        <f t="shared" si="3"/>
        <v>20169</v>
      </c>
      <c r="F156" s="18" t="s">
        <v>130</v>
      </c>
      <c r="G156" s="38">
        <v>500</v>
      </c>
      <c r="I156" s="47"/>
    </row>
    <row r="157" spans="5:9">
      <c r="E157" s="9">
        <f t="shared" si="3"/>
        <v>20170</v>
      </c>
      <c r="F157" s="18" t="s">
        <v>131</v>
      </c>
      <c r="G157" s="38">
        <v>500</v>
      </c>
      <c r="I157" s="47"/>
    </row>
    <row r="158" spans="5:9">
      <c r="E158" s="9">
        <f t="shared" si="3"/>
        <v>20171</v>
      </c>
      <c r="F158" s="18" t="s">
        <v>132</v>
      </c>
      <c r="G158" s="38">
        <v>500</v>
      </c>
      <c r="I158" s="47"/>
    </row>
    <row r="159" spans="5:9">
      <c r="E159" s="9">
        <f t="shared" si="3"/>
        <v>20172</v>
      </c>
      <c r="F159" s="18" t="s">
        <v>133</v>
      </c>
      <c r="G159" s="38">
        <v>500</v>
      </c>
      <c r="I159" s="47"/>
    </row>
    <row r="160" spans="5:9">
      <c r="E160" s="9">
        <f t="shared" si="3"/>
        <v>20173</v>
      </c>
      <c r="F160" s="18" t="s">
        <v>134</v>
      </c>
      <c r="G160" s="38">
        <v>500</v>
      </c>
      <c r="I160" s="47"/>
    </row>
    <row r="161" spans="5:9">
      <c r="E161" s="9">
        <f t="shared" si="3"/>
        <v>20174</v>
      </c>
      <c r="F161" s="15" t="s">
        <v>135</v>
      </c>
      <c r="G161" s="35">
        <v>14900</v>
      </c>
      <c r="I161" s="47"/>
    </row>
    <row r="162" spans="5:9">
      <c r="E162" s="9">
        <f t="shared" si="3"/>
        <v>20175</v>
      </c>
      <c r="F162" s="15" t="s">
        <v>136</v>
      </c>
      <c r="G162" s="35">
        <v>7050</v>
      </c>
      <c r="I162" s="47"/>
    </row>
    <row r="163" spans="5:9">
      <c r="E163" s="9">
        <f t="shared" si="3"/>
        <v>20176</v>
      </c>
      <c r="F163" s="15" t="s">
        <v>137</v>
      </c>
      <c r="G163" s="35">
        <v>4700</v>
      </c>
      <c r="I163" s="47"/>
    </row>
    <row r="164" spans="5:9">
      <c r="E164" s="9">
        <f t="shared" si="3"/>
        <v>20177</v>
      </c>
      <c r="F164" s="15" t="s">
        <v>138</v>
      </c>
      <c r="G164" s="35">
        <v>2157</v>
      </c>
      <c r="I164" s="47"/>
    </row>
    <row r="165" spans="5:9">
      <c r="E165" s="9">
        <f t="shared" si="3"/>
        <v>20178</v>
      </c>
      <c r="F165" s="15" t="s">
        <v>139</v>
      </c>
      <c r="G165" s="35">
        <v>6</v>
      </c>
      <c r="I165" s="47"/>
    </row>
    <row r="166" spans="5:9">
      <c r="E166" s="9">
        <f t="shared" si="3"/>
        <v>20179</v>
      </c>
      <c r="F166" s="15" t="s">
        <v>140</v>
      </c>
      <c r="G166" s="35">
        <v>10</v>
      </c>
      <c r="I166" s="47"/>
    </row>
    <row r="167" spans="5:9">
      <c r="E167" s="9">
        <f t="shared" si="3"/>
        <v>20180</v>
      </c>
      <c r="F167" s="15" t="s">
        <v>141</v>
      </c>
      <c r="G167" s="35">
        <v>5</v>
      </c>
      <c r="I167" s="47"/>
    </row>
    <row r="168" spans="5:9">
      <c r="E168" s="9">
        <f t="shared" si="3"/>
        <v>20181</v>
      </c>
      <c r="F168" s="15" t="s">
        <v>142</v>
      </c>
      <c r="G168" s="35">
        <v>9</v>
      </c>
      <c r="I168" s="47"/>
    </row>
    <row r="169" spans="5:9">
      <c r="E169" s="9">
        <f t="shared" si="3"/>
        <v>20182</v>
      </c>
      <c r="F169" s="15" t="s">
        <v>143</v>
      </c>
      <c r="G169" s="35">
        <v>6</v>
      </c>
      <c r="I169" s="47"/>
    </row>
    <row r="170" spans="5:9">
      <c r="E170" s="9">
        <f t="shared" si="3"/>
        <v>20183</v>
      </c>
      <c r="F170" s="15" t="s">
        <v>144</v>
      </c>
      <c r="G170" s="35">
        <v>4</v>
      </c>
      <c r="I170" s="47"/>
    </row>
    <row r="171" spans="5:9">
      <c r="E171" s="9">
        <f t="shared" si="3"/>
        <v>20184</v>
      </c>
      <c r="F171" s="15" t="s">
        <v>145</v>
      </c>
      <c r="G171" s="35">
        <v>5</v>
      </c>
      <c r="I171" s="47"/>
    </row>
    <row r="172" spans="5:9">
      <c r="E172" s="9">
        <f t="shared" si="3"/>
        <v>20185</v>
      </c>
      <c r="F172" s="15" t="s">
        <v>146</v>
      </c>
      <c r="G172" s="35">
        <v>4</v>
      </c>
      <c r="I172" s="47"/>
    </row>
    <row r="173" spans="5:9">
      <c r="E173" s="9">
        <f t="shared" si="3"/>
        <v>20186</v>
      </c>
      <c r="F173" s="15" t="s">
        <v>147</v>
      </c>
      <c r="G173" s="35">
        <v>80</v>
      </c>
      <c r="I173" s="47"/>
    </row>
    <row r="174" spans="5:9">
      <c r="E174" s="9">
        <f t="shared" si="3"/>
        <v>20187</v>
      </c>
      <c r="F174" s="15" t="s">
        <v>148</v>
      </c>
      <c r="G174" s="35">
        <v>5</v>
      </c>
      <c r="I174" s="47"/>
    </row>
    <row r="175" spans="5:9">
      <c r="E175" s="9">
        <f t="shared" si="3"/>
        <v>20188</v>
      </c>
      <c r="F175" s="15" t="s">
        <v>149</v>
      </c>
      <c r="G175" s="35">
        <v>10</v>
      </c>
      <c r="I175" s="47"/>
    </row>
    <row r="176" spans="5:9">
      <c r="E176" s="9">
        <f t="shared" si="3"/>
        <v>20189</v>
      </c>
      <c r="F176" s="15" t="s">
        <v>150</v>
      </c>
      <c r="G176" s="35">
        <v>10</v>
      </c>
      <c r="I176" s="47"/>
    </row>
    <row r="177" spans="5:9">
      <c r="E177" s="9">
        <f t="shared" si="3"/>
        <v>20190</v>
      </c>
      <c r="F177" s="15" t="s">
        <v>151</v>
      </c>
      <c r="G177" s="35">
        <v>5</v>
      </c>
      <c r="I177" s="47"/>
    </row>
    <row r="178" spans="5:9">
      <c r="E178" s="9">
        <f t="shared" si="3"/>
        <v>20191</v>
      </c>
      <c r="F178" s="15" t="s">
        <v>152</v>
      </c>
      <c r="G178" s="35">
        <v>10</v>
      </c>
      <c r="I178" s="47"/>
    </row>
    <row r="179" spans="5:9">
      <c r="E179" s="9">
        <f t="shared" si="3"/>
        <v>20192</v>
      </c>
      <c r="F179" s="15" t="s">
        <v>153</v>
      </c>
      <c r="G179" s="35">
        <v>5</v>
      </c>
      <c r="I179" s="47"/>
    </row>
    <row r="180" spans="5:9">
      <c r="E180" s="9">
        <f t="shared" si="3"/>
        <v>20193</v>
      </c>
      <c r="F180" s="15" t="s">
        <v>154</v>
      </c>
      <c r="G180" s="35">
        <v>10</v>
      </c>
      <c r="I180" s="47"/>
    </row>
    <row r="181" spans="5:9">
      <c r="E181" s="9">
        <f t="shared" si="3"/>
        <v>20194</v>
      </c>
      <c r="F181" s="15" t="s">
        <v>155</v>
      </c>
      <c r="G181" s="35">
        <v>5</v>
      </c>
      <c r="I181" s="47"/>
    </row>
    <row r="182" spans="5:9">
      <c r="E182" s="9">
        <f t="shared" si="3"/>
        <v>20195</v>
      </c>
      <c r="F182" s="15" t="s">
        <v>156</v>
      </c>
      <c r="G182" s="35">
        <v>5</v>
      </c>
      <c r="I182" s="47"/>
    </row>
    <row r="183" spans="5:9">
      <c r="E183" s="9">
        <f t="shared" si="3"/>
        <v>20196</v>
      </c>
      <c r="F183" s="15" t="s">
        <v>157</v>
      </c>
      <c r="G183" s="35">
        <v>5</v>
      </c>
      <c r="I183" s="47"/>
    </row>
    <row r="184" spans="5:9">
      <c r="E184" s="9">
        <f t="shared" si="3"/>
        <v>20197</v>
      </c>
      <c r="F184" s="15" t="s">
        <v>158</v>
      </c>
      <c r="G184" s="35">
        <v>5</v>
      </c>
      <c r="I184" s="47"/>
    </row>
    <row r="185" spans="5:9">
      <c r="E185" s="9">
        <f t="shared" si="3"/>
        <v>20198</v>
      </c>
      <c r="F185" s="15" t="s">
        <v>159</v>
      </c>
      <c r="G185" s="35">
        <v>5</v>
      </c>
      <c r="I185" s="47"/>
    </row>
    <row r="186" spans="5:9">
      <c r="E186" s="9">
        <f t="shared" si="3"/>
        <v>20199</v>
      </c>
      <c r="F186" s="15" t="s">
        <v>160</v>
      </c>
      <c r="G186" s="35">
        <v>10</v>
      </c>
      <c r="I186" s="47"/>
    </row>
    <row r="187" spans="5:9">
      <c r="E187" s="9">
        <f t="shared" si="3"/>
        <v>20200</v>
      </c>
      <c r="F187" s="15" t="s">
        <v>161</v>
      </c>
      <c r="G187" s="35">
        <v>10</v>
      </c>
      <c r="I187" s="47"/>
    </row>
    <row r="188" spans="5:9">
      <c r="E188" s="9">
        <f t="shared" si="3"/>
        <v>20201</v>
      </c>
      <c r="F188" s="15" t="s">
        <v>162</v>
      </c>
      <c r="G188" s="35">
        <v>8</v>
      </c>
      <c r="I188" s="47"/>
    </row>
    <row r="189" spans="5:9">
      <c r="E189" s="9">
        <f t="shared" si="3"/>
        <v>20202</v>
      </c>
      <c r="F189" s="15" t="s">
        <v>163</v>
      </c>
      <c r="G189" s="35">
        <v>2</v>
      </c>
      <c r="I189" s="47"/>
    </row>
    <row r="190" spans="5:9">
      <c r="E190" s="9">
        <f t="shared" si="3"/>
        <v>20203</v>
      </c>
      <c r="F190" s="15" t="s">
        <v>164</v>
      </c>
      <c r="G190" s="35">
        <v>5</v>
      </c>
      <c r="I190" s="47"/>
    </row>
    <row r="191" spans="5:9">
      <c r="E191" s="9">
        <f t="shared" si="3"/>
        <v>20204</v>
      </c>
      <c r="F191" s="15" t="s">
        <v>165</v>
      </c>
      <c r="G191" s="35">
        <v>3</v>
      </c>
      <c r="I191" s="47"/>
    </row>
    <row r="192" spans="5:9">
      <c r="E192" s="9">
        <f t="shared" si="3"/>
        <v>20205</v>
      </c>
      <c r="F192" s="15" t="s">
        <v>166</v>
      </c>
      <c r="G192" s="35">
        <v>5</v>
      </c>
      <c r="I192" s="47"/>
    </row>
    <row r="193" spans="5:14">
      <c r="E193" s="9">
        <f t="shared" si="3"/>
        <v>20206</v>
      </c>
      <c r="F193" s="15" t="s">
        <v>167</v>
      </c>
      <c r="G193" s="35">
        <v>5</v>
      </c>
      <c r="I193" s="47"/>
    </row>
    <row r="194" spans="5:14">
      <c r="E194" s="9">
        <f t="shared" si="3"/>
        <v>20207</v>
      </c>
      <c r="F194" s="15" t="s">
        <v>168</v>
      </c>
      <c r="G194" s="35">
        <v>2</v>
      </c>
      <c r="I194" s="47"/>
    </row>
    <row r="195" spans="5:14">
      <c r="E195" s="9">
        <f t="shared" si="3"/>
        <v>20208</v>
      </c>
      <c r="F195" s="15" t="s">
        <v>169</v>
      </c>
      <c r="G195" s="35">
        <v>2</v>
      </c>
      <c r="I195" s="47"/>
    </row>
    <row r="196" spans="5:14">
      <c r="E196" s="9">
        <f t="shared" si="3"/>
        <v>20209</v>
      </c>
      <c r="F196" s="15" t="s">
        <v>170</v>
      </c>
      <c r="G196" s="35">
        <v>2</v>
      </c>
      <c r="I196" s="47"/>
    </row>
    <row r="197" spans="5:14">
      <c r="E197" s="9">
        <f t="shared" si="3"/>
        <v>20210</v>
      </c>
      <c r="F197" s="15" t="s">
        <v>171</v>
      </c>
      <c r="G197" s="35">
        <v>2</v>
      </c>
      <c r="I197" s="47"/>
    </row>
    <row r="198" spans="5:14">
      <c r="E198" s="9">
        <f t="shared" si="3"/>
        <v>20211</v>
      </c>
      <c r="F198" s="15" t="s">
        <v>172</v>
      </c>
      <c r="G198" s="35">
        <v>2</v>
      </c>
      <c r="I198" s="47"/>
    </row>
    <row r="199" spans="5:14">
      <c r="E199" s="9">
        <f t="shared" si="3"/>
        <v>20212</v>
      </c>
      <c r="F199" s="15" t="s">
        <v>173</v>
      </c>
      <c r="G199" s="35">
        <v>2</v>
      </c>
      <c r="I199" s="47"/>
    </row>
    <row r="200" spans="5:14">
      <c r="E200" s="9">
        <f t="shared" si="3"/>
        <v>20213</v>
      </c>
      <c r="F200" s="15" t="s">
        <v>174</v>
      </c>
      <c r="G200" s="35">
        <v>2</v>
      </c>
      <c r="I200" s="47"/>
    </row>
    <row r="201" spans="5:14">
      <c r="E201" s="9">
        <f t="shared" ref="E201:E202" si="4">1+E200</f>
        <v>20214</v>
      </c>
      <c r="F201" s="15" t="s">
        <v>175</v>
      </c>
      <c r="G201" s="35">
        <v>1</v>
      </c>
      <c r="I201" s="47"/>
    </row>
    <row r="202" spans="5:14">
      <c r="E202" s="9">
        <f t="shared" si="4"/>
        <v>20215</v>
      </c>
      <c r="F202" s="19" t="s">
        <v>176</v>
      </c>
      <c r="G202" s="35"/>
      <c r="I202" s="47"/>
    </row>
    <row r="203" spans="5:14">
      <c r="E203" s="9">
        <f t="shared" ref="E203:E266" si="5">1+E202</f>
        <v>20216</v>
      </c>
      <c r="F203" s="20" t="s">
        <v>177</v>
      </c>
      <c r="G203" s="39">
        <v>1</v>
      </c>
      <c r="I203" s="47"/>
      <c r="J203" s="51"/>
      <c r="K203" s="51"/>
      <c r="L203" s="51"/>
      <c r="M203" s="51"/>
      <c r="N203" s="51"/>
    </row>
    <row r="204" spans="5:14">
      <c r="E204" s="9">
        <f t="shared" si="5"/>
        <v>20217</v>
      </c>
      <c r="F204" s="21" t="s">
        <v>178</v>
      </c>
      <c r="G204" s="39">
        <v>1</v>
      </c>
      <c r="I204" s="47"/>
      <c r="J204" s="51"/>
      <c r="K204" s="51"/>
      <c r="L204" s="51"/>
      <c r="M204" s="51"/>
      <c r="N204" s="51"/>
    </row>
    <row r="205" spans="5:14">
      <c r="E205" s="9">
        <f t="shared" si="5"/>
        <v>20218</v>
      </c>
      <c r="F205" s="21" t="s">
        <v>179</v>
      </c>
      <c r="G205" s="39">
        <v>1</v>
      </c>
      <c r="I205" s="47"/>
      <c r="J205" s="51"/>
      <c r="K205" s="51"/>
      <c r="L205" s="51"/>
      <c r="M205" s="51"/>
      <c r="N205" s="51"/>
    </row>
    <row r="206" spans="5:14">
      <c r="E206" s="9">
        <f t="shared" si="5"/>
        <v>20219</v>
      </c>
      <c r="F206" s="19" t="s">
        <v>180</v>
      </c>
      <c r="G206" s="39">
        <v>1</v>
      </c>
      <c r="I206" s="47"/>
      <c r="J206" s="51"/>
      <c r="K206" s="51"/>
      <c r="L206" s="51"/>
      <c r="M206" s="51"/>
      <c r="N206" s="51"/>
    </row>
    <row r="207" spans="5:14">
      <c r="E207" s="9">
        <f t="shared" si="5"/>
        <v>20220</v>
      </c>
      <c r="F207" s="19" t="s">
        <v>181</v>
      </c>
      <c r="G207" s="39">
        <v>1</v>
      </c>
      <c r="I207" s="47"/>
      <c r="J207" s="51"/>
      <c r="K207" s="51"/>
      <c r="L207" s="51"/>
      <c r="M207" s="51"/>
      <c r="N207" s="51"/>
    </row>
    <row r="208" spans="5:14">
      <c r="E208" s="9">
        <f t="shared" si="5"/>
        <v>20221</v>
      </c>
      <c r="F208" s="19" t="s">
        <v>182</v>
      </c>
      <c r="G208" s="39">
        <v>1</v>
      </c>
      <c r="I208" s="47"/>
      <c r="J208" s="51"/>
      <c r="K208" s="51"/>
      <c r="L208" s="51"/>
      <c r="M208" s="51"/>
      <c r="N208" s="51"/>
    </row>
    <row r="209" spans="5:14">
      <c r="E209" s="9">
        <f t="shared" si="5"/>
        <v>20222</v>
      </c>
      <c r="F209" s="19" t="s">
        <v>183</v>
      </c>
      <c r="G209" s="39">
        <v>1</v>
      </c>
      <c r="I209" s="47"/>
      <c r="J209" s="51"/>
      <c r="K209" s="51"/>
      <c r="L209" s="51"/>
      <c r="M209" s="51"/>
      <c r="N209" s="51"/>
    </row>
    <row r="210" spans="5:14">
      <c r="E210" s="9">
        <f t="shared" si="5"/>
        <v>20223</v>
      </c>
      <c r="F210" s="19" t="s">
        <v>184</v>
      </c>
      <c r="G210" s="39">
        <v>1</v>
      </c>
      <c r="I210" s="47"/>
      <c r="J210" s="51"/>
      <c r="K210" s="51"/>
      <c r="L210" s="51"/>
      <c r="M210" s="51"/>
      <c r="N210" s="51"/>
    </row>
    <row r="211" spans="5:14">
      <c r="E211" s="9">
        <f t="shared" si="5"/>
        <v>20224</v>
      </c>
      <c r="F211" s="19" t="s">
        <v>185</v>
      </c>
      <c r="G211" s="39">
        <v>1</v>
      </c>
      <c r="I211" s="47"/>
      <c r="J211" s="51"/>
      <c r="K211" s="51"/>
      <c r="L211" s="51"/>
      <c r="M211" s="51"/>
      <c r="N211" s="51"/>
    </row>
    <row r="212" spans="5:14">
      <c r="E212" s="9">
        <f t="shared" si="5"/>
        <v>20225</v>
      </c>
      <c r="F212" s="19" t="s">
        <v>186</v>
      </c>
      <c r="G212" s="39">
        <v>1</v>
      </c>
      <c r="I212" s="47"/>
      <c r="J212" s="51"/>
      <c r="K212" s="51"/>
      <c r="L212" s="51"/>
      <c r="M212" s="51"/>
      <c r="N212" s="51"/>
    </row>
    <row r="213" spans="5:14">
      <c r="E213" s="9">
        <f t="shared" si="5"/>
        <v>20226</v>
      </c>
      <c r="F213" s="19" t="s">
        <v>187</v>
      </c>
      <c r="G213" s="39">
        <v>1</v>
      </c>
      <c r="I213" s="47"/>
      <c r="J213" s="51"/>
      <c r="K213" s="51"/>
      <c r="L213" s="51"/>
      <c r="M213" s="51"/>
      <c r="N213" s="51"/>
    </row>
    <row r="214" spans="5:14">
      <c r="E214" s="9">
        <f t="shared" si="5"/>
        <v>20227</v>
      </c>
      <c r="F214" s="19" t="s">
        <v>188</v>
      </c>
      <c r="G214" s="39">
        <v>1</v>
      </c>
      <c r="I214" s="47"/>
      <c r="J214" s="51"/>
      <c r="K214" s="51"/>
      <c r="L214" s="51"/>
      <c r="M214" s="51"/>
      <c r="N214" s="51"/>
    </row>
    <row r="215" spans="5:14">
      <c r="E215" s="9">
        <f t="shared" si="5"/>
        <v>20228</v>
      </c>
      <c r="F215" s="19" t="s">
        <v>189</v>
      </c>
      <c r="G215" s="39">
        <v>1</v>
      </c>
      <c r="I215" s="47"/>
      <c r="J215" s="51"/>
      <c r="K215" s="51"/>
      <c r="L215" s="51"/>
      <c r="M215" s="51"/>
      <c r="N215" s="51"/>
    </row>
    <row r="216" spans="5:14">
      <c r="E216" s="9">
        <f t="shared" si="5"/>
        <v>20229</v>
      </c>
      <c r="F216" s="19" t="s">
        <v>190</v>
      </c>
      <c r="G216" s="39">
        <v>15</v>
      </c>
      <c r="I216" s="47"/>
      <c r="J216" s="51"/>
      <c r="K216" s="51"/>
      <c r="L216" s="51"/>
      <c r="M216" s="51"/>
      <c r="N216" s="51"/>
    </row>
    <row r="217" spans="5:14">
      <c r="E217" s="9">
        <f t="shared" si="5"/>
        <v>20230</v>
      </c>
      <c r="F217" s="19" t="s">
        <v>191</v>
      </c>
      <c r="G217" s="39">
        <v>5</v>
      </c>
      <c r="I217" s="47"/>
      <c r="J217" s="51"/>
      <c r="K217" s="51"/>
      <c r="L217" s="51"/>
      <c r="M217" s="51"/>
      <c r="N217" s="51"/>
    </row>
    <row r="218" spans="5:14">
      <c r="E218" s="9">
        <f t="shared" si="5"/>
        <v>20231</v>
      </c>
      <c r="F218" s="19" t="s">
        <v>192</v>
      </c>
      <c r="G218" s="39">
        <v>5</v>
      </c>
      <c r="I218" s="47"/>
      <c r="J218" s="51"/>
      <c r="K218" s="51"/>
      <c r="L218" s="51"/>
      <c r="M218" s="51"/>
      <c r="N218" s="51"/>
    </row>
    <row r="219" spans="5:14">
      <c r="E219" s="9">
        <f t="shared" si="5"/>
        <v>20232</v>
      </c>
      <c r="F219" s="19" t="s">
        <v>193</v>
      </c>
      <c r="G219" s="39">
        <v>5</v>
      </c>
      <c r="I219" s="47"/>
      <c r="J219" s="51"/>
      <c r="K219" s="51"/>
      <c r="L219" s="51"/>
      <c r="M219" s="51"/>
      <c r="N219" s="51"/>
    </row>
    <row r="220" spans="5:14">
      <c r="E220" s="9">
        <f t="shared" si="5"/>
        <v>20233</v>
      </c>
      <c r="F220" s="19" t="s">
        <v>194</v>
      </c>
      <c r="G220" s="39">
        <f>46+28+33</f>
        <v>107</v>
      </c>
      <c r="I220" s="47"/>
      <c r="J220" s="51"/>
      <c r="K220" s="51"/>
      <c r="L220" s="51"/>
      <c r="M220" s="51"/>
      <c r="N220" s="51"/>
    </row>
    <row r="221" spans="5:14">
      <c r="E221" s="9">
        <f t="shared" si="5"/>
        <v>20234</v>
      </c>
      <c r="F221" s="19" t="s">
        <v>195</v>
      </c>
      <c r="G221" s="39">
        <v>40</v>
      </c>
      <c r="I221" s="47"/>
      <c r="J221" s="51"/>
      <c r="K221" s="51"/>
      <c r="L221" s="51"/>
      <c r="M221" s="51"/>
      <c r="N221" s="51"/>
    </row>
    <row r="222" spans="5:14">
      <c r="E222" s="9">
        <f t="shared" si="5"/>
        <v>20235</v>
      </c>
      <c r="F222" s="19" t="s">
        <v>196</v>
      </c>
      <c r="G222" s="39">
        <v>27</v>
      </c>
      <c r="I222" s="47"/>
      <c r="J222" s="51"/>
      <c r="K222" s="51"/>
      <c r="L222" s="51"/>
      <c r="M222" s="51"/>
      <c r="N222" s="51"/>
    </row>
    <row r="223" spans="5:14">
      <c r="E223" s="9">
        <f t="shared" si="5"/>
        <v>20236</v>
      </c>
      <c r="F223" s="19" t="s">
        <v>197</v>
      </c>
      <c r="G223" s="39">
        <v>30</v>
      </c>
      <c r="I223" s="47"/>
      <c r="J223" s="51"/>
      <c r="K223" s="51"/>
      <c r="L223" s="51"/>
      <c r="M223" s="51"/>
      <c r="N223" s="51"/>
    </row>
    <row r="224" spans="5:14">
      <c r="E224" s="9">
        <f t="shared" si="5"/>
        <v>20237</v>
      </c>
      <c r="F224" s="19" t="s">
        <v>198</v>
      </c>
      <c r="G224" s="39">
        <f>75+75+72+69</f>
        <v>291</v>
      </c>
      <c r="I224" s="47"/>
      <c r="J224" s="51"/>
      <c r="K224" s="51"/>
      <c r="L224" s="51"/>
      <c r="M224" s="51"/>
      <c r="N224" s="51"/>
    </row>
    <row r="225" spans="5:14">
      <c r="E225" s="9">
        <f t="shared" si="5"/>
        <v>20238</v>
      </c>
      <c r="F225" s="19" t="s">
        <v>199</v>
      </c>
      <c r="G225" s="39">
        <f>60+240+240</f>
        <v>540</v>
      </c>
      <c r="I225" s="47"/>
      <c r="J225" s="51"/>
      <c r="K225" s="51"/>
      <c r="L225" s="51"/>
      <c r="M225" s="51"/>
      <c r="N225" s="51"/>
    </row>
    <row r="226" spans="5:14">
      <c r="E226" s="9">
        <f t="shared" si="5"/>
        <v>20239</v>
      </c>
      <c r="F226" s="19" t="s">
        <v>200</v>
      </c>
      <c r="G226" s="39">
        <f>28+47</f>
        <v>75</v>
      </c>
      <c r="I226" s="47"/>
      <c r="J226" s="51"/>
      <c r="K226" s="51"/>
      <c r="L226" s="51"/>
      <c r="M226" s="51"/>
      <c r="N226" s="51"/>
    </row>
    <row r="227" spans="5:14">
      <c r="E227" s="9">
        <f t="shared" si="5"/>
        <v>20240</v>
      </c>
      <c r="F227" s="19" t="s">
        <v>201</v>
      </c>
      <c r="G227" s="39">
        <f>49000+550</f>
        <v>49550</v>
      </c>
      <c r="I227" s="47"/>
      <c r="J227" s="51"/>
      <c r="K227" s="51"/>
      <c r="L227" s="51"/>
      <c r="M227" s="51"/>
      <c r="N227" s="51"/>
    </row>
    <row r="228" spans="5:14">
      <c r="E228" s="9">
        <f t="shared" si="5"/>
        <v>20241</v>
      </c>
      <c r="F228" s="19" t="s">
        <v>202</v>
      </c>
      <c r="G228" s="39">
        <f>26000+300</f>
        <v>26300</v>
      </c>
      <c r="I228" s="47"/>
      <c r="J228" s="51"/>
      <c r="K228" s="51"/>
      <c r="L228" s="51"/>
      <c r="M228" s="51"/>
      <c r="N228" s="51"/>
    </row>
    <row r="229" spans="5:14">
      <c r="E229" s="9">
        <f t="shared" si="5"/>
        <v>20242</v>
      </c>
      <c r="F229" s="19" t="s">
        <v>203</v>
      </c>
      <c r="G229" s="39">
        <f>78000+900</f>
        <v>78900</v>
      </c>
      <c r="I229" s="47"/>
      <c r="J229" s="51"/>
      <c r="K229" s="51"/>
      <c r="L229" s="51"/>
      <c r="M229" s="51"/>
      <c r="N229" s="51"/>
    </row>
    <row r="230" spans="5:14">
      <c r="E230" s="9">
        <f t="shared" si="5"/>
        <v>20243</v>
      </c>
      <c r="F230" s="19" t="s">
        <v>204</v>
      </c>
      <c r="G230" s="39">
        <f>31000+575</f>
        <v>31575</v>
      </c>
      <c r="I230" s="47"/>
      <c r="J230" s="51"/>
      <c r="K230" s="51"/>
      <c r="L230" s="51"/>
      <c r="M230" s="51"/>
      <c r="N230" s="51"/>
    </row>
    <row r="231" spans="5:14">
      <c r="E231" s="9">
        <f t="shared" si="5"/>
        <v>20244</v>
      </c>
      <c r="F231" s="19" t="s">
        <v>205</v>
      </c>
      <c r="G231" s="39">
        <f>110000+6000</f>
        <v>116000</v>
      </c>
      <c r="I231" s="47"/>
      <c r="J231" s="51"/>
      <c r="K231" s="51"/>
      <c r="L231" s="51"/>
      <c r="M231" s="51"/>
      <c r="N231" s="51"/>
    </row>
    <row r="232" spans="5:14">
      <c r="E232" s="9">
        <f t="shared" si="5"/>
        <v>20245</v>
      </c>
      <c r="F232" s="19" t="s">
        <v>206</v>
      </c>
      <c r="G232" s="39">
        <f>466000</f>
        <v>466000</v>
      </c>
      <c r="I232" s="47"/>
      <c r="J232" s="51"/>
      <c r="K232" s="51"/>
      <c r="L232" s="51"/>
      <c r="M232" s="51"/>
      <c r="N232" s="51"/>
    </row>
    <row r="233" spans="5:14">
      <c r="E233" s="9">
        <f t="shared" si="5"/>
        <v>20246</v>
      </c>
      <c r="F233" s="19" t="s">
        <v>207</v>
      </c>
      <c r="G233" s="39">
        <f>100+200+2000+800</f>
        <v>3100</v>
      </c>
      <c r="I233" s="47"/>
      <c r="J233" s="51"/>
      <c r="K233" s="51"/>
      <c r="L233" s="51"/>
      <c r="M233" s="51"/>
      <c r="N233" s="51"/>
    </row>
    <row r="234" spans="5:14">
      <c r="E234" s="9">
        <f t="shared" si="5"/>
        <v>20247</v>
      </c>
      <c r="F234" s="19" t="s">
        <v>208</v>
      </c>
      <c r="G234" s="39">
        <v>90</v>
      </c>
      <c r="I234" s="47"/>
      <c r="J234" s="51"/>
      <c r="K234" s="51"/>
      <c r="L234" s="51"/>
      <c r="M234" s="51"/>
      <c r="N234" s="51"/>
    </row>
    <row r="235" spans="5:14">
      <c r="E235" s="9">
        <f t="shared" si="5"/>
        <v>20248</v>
      </c>
      <c r="F235" s="19" t="s">
        <v>209</v>
      </c>
      <c r="G235" s="39">
        <f>5*1000</f>
        <v>5000</v>
      </c>
      <c r="I235" s="47"/>
      <c r="J235" s="51"/>
      <c r="K235" s="51"/>
      <c r="L235" s="51"/>
      <c r="M235" s="51"/>
      <c r="N235" s="51"/>
    </row>
    <row r="236" spans="5:14">
      <c r="E236" s="9">
        <f t="shared" si="5"/>
        <v>20249</v>
      </c>
      <c r="F236" s="19" t="s">
        <v>210</v>
      </c>
      <c r="G236" s="39">
        <f>5*1000</f>
        <v>5000</v>
      </c>
      <c r="I236" s="47"/>
      <c r="J236" s="51"/>
      <c r="K236" s="51"/>
      <c r="L236" s="51"/>
      <c r="M236" s="51"/>
      <c r="N236" s="51"/>
    </row>
    <row r="237" spans="5:14">
      <c r="E237" s="9">
        <f t="shared" si="5"/>
        <v>20250</v>
      </c>
      <c r="F237" s="19" t="s">
        <v>211</v>
      </c>
      <c r="G237" s="39">
        <f>2*1000</f>
        <v>2000</v>
      </c>
      <c r="I237" s="47"/>
      <c r="J237" s="51"/>
      <c r="K237" s="51"/>
      <c r="L237" s="51"/>
      <c r="M237" s="51"/>
      <c r="N237" s="51"/>
    </row>
    <row r="238" spans="5:14">
      <c r="E238" s="9">
        <f t="shared" si="5"/>
        <v>20251</v>
      </c>
      <c r="F238" s="19" t="s">
        <v>212</v>
      </c>
      <c r="G238" s="39">
        <f>2*1000</f>
        <v>2000</v>
      </c>
      <c r="I238" s="47"/>
      <c r="J238" s="51"/>
      <c r="K238" s="51"/>
      <c r="L238" s="51"/>
      <c r="M238" s="51"/>
      <c r="N238" s="51"/>
    </row>
    <row r="239" spans="5:14">
      <c r="E239" s="9">
        <f t="shared" si="5"/>
        <v>20252</v>
      </c>
      <c r="F239" s="19" t="s">
        <v>213</v>
      </c>
      <c r="G239" s="39">
        <f>4*1000</f>
        <v>4000</v>
      </c>
      <c r="I239" s="47"/>
      <c r="J239" s="51"/>
      <c r="K239" s="51"/>
      <c r="L239" s="51"/>
      <c r="M239" s="51"/>
      <c r="N239" s="51"/>
    </row>
    <row r="240" spans="5:14">
      <c r="E240" s="9">
        <f t="shared" si="5"/>
        <v>20253</v>
      </c>
      <c r="F240" s="19" t="s">
        <v>214</v>
      </c>
      <c r="G240" s="39">
        <v>3000</v>
      </c>
      <c r="I240" s="47"/>
      <c r="J240" s="51"/>
      <c r="K240" s="51"/>
      <c r="L240" s="51"/>
      <c r="M240" s="51"/>
      <c r="N240" s="51"/>
    </row>
    <row r="241" spans="5:14">
      <c r="E241" s="9">
        <f t="shared" si="5"/>
        <v>20254</v>
      </c>
      <c r="F241" s="19" t="s">
        <v>215</v>
      </c>
      <c r="G241" s="39">
        <v>3000</v>
      </c>
      <c r="I241" s="47"/>
      <c r="J241" s="51"/>
      <c r="K241" s="51"/>
      <c r="L241" s="51"/>
      <c r="M241" s="51"/>
      <c r="N241" s="51"/>
    </row>
    <row r="242" spans="5:14">
      <c r="E242" s="9">
        <f t="shared" si="5"/>
        <v>20255</v>
      </c>
      <c r="F242" s="19" t="s">
        <v>216</v>
      </c>
      <c r="G242" s="39">
        <v>3000</v>
      </c>
      <c r="I242" s="47"/>
      <c r="J242" s="51"/>
      <c r="K242" s="51"/>
      <c r="L242" s="51"/>
      <c r="M242" s="51"/>
      <c r="N242" s="51"/>
    </row>
    <row r="243" spans="5:14">
      <c r="E243" s="9">
        <f t="shared" si="5"/>
        <v>20256</v>
      </c>
      <c r="F243" s="19" t="s">
        <v>217</v>
      </c>
      <c r="G243" s="39">
        <v>3000</v>
      </c>
      <c r="I243" s="47"/>
      <c r="J243" s="51"/>
      <c r="K243" s="51"/>
      <c r="L243" s="51"/>
      <c r="M243" s="51"/>
      <c r="N243" s="51"/>
    </row>
    <row r="244" spans="5:14">
      <c r="E244" s="9">
        <f t="shared" si="5"/>
        <v>20257</v>
      </c>
      <c r="F244" s="19" t="s">
        <v>218</v>
      </c>
      <c r="G244" s="39">
        <v>2000</v>
      </c>
      <c r="I244" s="47"/>
      <c r="J244" s="51"/>
      <c r="K244" s="51"/>
      <c r="L244" s="51"/>
      <c r="M244" s="51"/>
      <c r="N244" s="51"/>
    </row>
    <row r="245" spans="5:14">
      <c r="E245" s="9">
        <f t="shared" si="5"/>
        <v>20258</v>
      </c>
      <c r="F245" s="19" t="s">
        <v>219</v>
      </c>
      <c r="G245" s="39">
        <v>3000</v>
      </c>
      <c r="I245" s="47"/>
      <c r="J245" s="51"/>
      <c r="K245" s="51"/>
      <c r="L245" s="51"/>
      <c r="M245" s="51"/>
      <c r="N245" s="51"/>
    </row>
    <row r="246" spans="5:14">
      <c r="E246" s="9">
        <f t="shared" si="5"/>
        <v>20259</v>
      </c>
      <c r="F246" s="19" t="s">
        <v>220</v>
      </c>
      <c r="G246" s="39">
        <v>4000</v>
      </c>
      <c r="I246" s="47"/>
      <c r="J246" s="51"/>
      <c r="K246" s="51"/>
      <c r="L246" s="51"/>
      <c r="M246" s="51"/>
      <c r="N246" s="51"/>
    </row>
    <row r="247" spans="5:14">
      <c r="E247" s="9">
        <f t="shared" si="5"/>
        <v>20260</v>
      </c>
      <c r="F247" s="19" t="s">
        <v>221</v>
      </c>
      <c r="G247" s="39">
        <f>14*80</f>
        <v>1120</v>
      </c>
      <c r="I247" s="47"/>
      <c r="J247" s="51"/>
      <c r="K247" s="51"/>
      <c r="L247" s="51"/>
      <c r="M247" s="51"/>
      <c r="N247" s="51"/>
    </row>
    <row r="248" spans="5:14">
      <c r="E248" s="9">
        <f t="shared" si="5"/>
        <v>20261</v>
      </c>
      <c r="F248" s="19" t="s">
        <v>222</v>
      </c>
      <c r="G248" s="39">
        <f>12*125</f>
        <v>1500</v>
      </c>
      <c r="I248" s="47"/>
      <c r="J248" s="51"/>
      <c r="K248" s="51"/>
      <c r="L248" s="51"/>
      <c r="M248" s="51"/>
      <c r="N248" s="51"/>
    </row>
    <row r="249" spans="5:14">
      <c r="E249" s="9">
        <f t="shared" si="5"/>
        <v>20262</v>
      </c>
      <c r="F249" s="19" t="s">
        <v>223</v>
      </c>
      <c r="G249" s="39">
        <v>44</v>
      </c>
      <c r="I249" s="47"/>
      <c r="J249" s="51"/>
      <c r="K249" s="51"/>
      <c r="L249" s="51"/>
      <c r="M249" s="51"/>
      <c r="N249" s="51"/>
    </row>
    <row r="250" spans="5:14">
      <c r="E250" s="9">
        <f t="shared" si="5"/>
        <v>20263</v>
      </c>
      <c r="F250" s="19" t="s">
        <v>224</v>
      </c>
      <c r="G250" s="39">
        <v>80</v>
      </c>
      <c r="I250" s="47"/>
      <c r="J250" s="51"/>
      <c r="K250" s="51"/>
      <c r="L250" s="51"/>
      <c r="M250" s="51"/>
      <c r="N250" s="51"/>
    </row>
    <row r="251" spans="5:14">
      <c r="E251" s="9">
        <f t="shared" si="5"/>
        <v>20264</v>
      </c>
      <c r="F251" s="19" t="s">
        <v>225</v>
      </c>
      <c r="G251" s="39">
        <v>100</v>
      </c>
      <c r="I251" s="47"/>
      <c r="J251" s="51"/>
      <c r="K251" s="51"/>
      <c r="L251" s="51"/>
      <c r="M251" s="51"/>
      <c r="N251" s="51"/>
    </row>
    <row r="252" spans="5:14">
      <c r="E252" s="9">
        <f t="shared" si="5"/>
        <v>20265</v>
      </c>
      <c r="F252" s="19" t="s">
        <v>226</v>
      </c>
      <c r="G252" s="39">
        <v>80</v>
      </c>
      <c r="I252" s="47"/>
      <c r="J252" s="51"/>
      <c r="K252" s="51"/>
      <c r="L252" s="51"/>
      <c r="M252" s="51"/>
      <c r="N252" s="51"/>
    </row>
    <row r="253" spans="5:14">
      <c r="E253" s="9">
        <f t="shared" si="5"/>
        <v>20266</v>
      </c>
      <c r="F253" s="19" t="s">
        <v>227</v>
      </c>
      <c r="G253" s="39">
        <f>30+8</f>
        <v>38</v>
      </c>
      <c r="I253" s="47"/>
      <c r="J253" s="51"/>
      <c r="K253" s="51"/>
      <c r="L253" s="51"/>
      <c r="M253" s="51"/>
      <c r="N253" s="51"/>
    </row>
    <row r="254" spans="5:14">
      <c r="E254" s="9">
        <f t="shared" si="5"/>
        <v>20267</v>
      </c>
      <c r="F254" s="19" t="s">
        <v>228</v>
      </c>
      <c r="G254" s="39">
        <v>19</v>
      </c>
      <c r="I254" s="47"/>
      <c r="J254" s="51"/>
      <c r="K254" s="51"/>
      <c r="L254" s="51"/>
      <c r="M254" s="51"/>
      <c r="N254" s="51"/>
    </row>
    <row r="255" spans="5:14">
      <c r="E255" s="9">
        <f t="shared" si="5"/>
        <v>20268</v>
      </c>
      <c r="F255" s="19" t="s">
        <v>229</v>
      </c>
      <c r="G255" s="39">
        <v>5</v>
      </c>
      <c r="I255" s="47"/>
      <c r="J255" s="51"/>
      <c r="K255" s="51"/>
      <c r="L255" s="51"/>
      <c r="M255" s="51"/>
      <c r="N255" s="51"/>
    </row>
    <row r="256" spans="5:14">
      <c r="E256" s="9">
        <f t="shared" si="5"/>
        <v>20269</v>
      </c>
      <c r="F256" s="19" t="s">
        <v>230</v>
      </c>
      <c r="G256" s="39">
        <v>5</v>
      </c>
      <c r="I256" s="47"/>
      <c r="J256" s="51"/>
      <c r="K256" s="51"/>
      <c r="L256" s="51"/>
      <c r="M256" s="51"/>
      <c r="N256" s="51"/>
    </row>
    <row r="257" spans="5:14">
      <c r="E257" s="9">
        <f t="shared" si="5"/>
        <v>20270</v>
      </c>
      <c r="F257" s="19" t="s">
        <v>231</v>
      </c>
      <c r="G257" s="39">
        <v>2</v>
      </c>
      <c r="I257" s="47"/>
      <c r="J257" s="51"/>
      <c r="K257" s="51"/>
      <c r="L257" s="51"/>
      <c r="M257" s="51"/>
      <c r="N257" s="51"/>
    </row>
    <row r="258" spans="5:14">
      <c r="E258" s="9">
        <f t="shared" si="5"/>
        <v>20271</v>
      </c>
      <c r="F258" s="19" t="s">
        <v>232</v>
      </c>
      <c r="G258" s="39">
        <v>4</v>
      </c>
      <c r="I258" s="47"/>
      <c r="J258" s="51"/>
      <c r="K258" s="51"/>
      <c r="L258" s="51"/>
      <c r="M258" s="51"/>
      <c r="N258" s="51"/>
    </row>
    <row r="259" spans="5:14">
      <c r="E259" s="9">
        <f t="shared" si="5"/>
        <v>20272</v>
      </c>
      <c r="F259" s="19" t="s">
        <v>233</v>
      </c>
      <c r="G259" s="39">
        <v>3</v>
      </c>
      <c r="I259" s="47"/>
      <c r="J259" s="51"/>
      <c r="K259" s="51"/>
      <c r="L259" s="51"/>
      <c r="M259" s="51"/>
      <c r="N259" s="51"/>
    </row>
    <row r="260" spans="5:14">
      <c r="E260" s="9">
        <f t="shared" si="5"/>
        <v>20273</v>
      </c>
      <c r="F260" s="19" t="s">
        <v>234</v>
      </c>
      <c r="G260" s="39">
        <v>2</v>
      </c>
      <c r="I260" s="47"/>
      <c r="J260" s="51"/>
      <c r="K260" s="51"/>
      <c r="L260" s="51"/>
      <c r="M260" s="51"/>
      <c r="N260" s="51"/>
    </row>
    <row r="261" spans="5:14">
      <c r="E261" s="9">
        <f t="shared" si="5"/>
        <v>20274</v>
      </c>
      <c r="F261" s="19" t="s">
        <v>235</v>
      </c>
      <c r="G261" s="39">
        <v>3</v>
      </c>
      <c r="I261" s="47"/>
      <c r="J261" s="51"/>
      <c r="K261" s="51"/>
      <c r="L261" s="51"/>
      <c r="M261" s="51"/>
      <c r="N261" s="51"/>
    </row>
    <row r="262" spans="5:14">
      <c r="E262" s="9">
        <f t="shared" si="5"/>
        <v>20275</v>
      </c>
      <c r="F262" s="19" t="s">
        <v>236</v>
      </c>
      <c r="G262" s="39">
        <v>41</v>
      </c>
      <c r="I262" s="47"/>
      <c r="J262" s="51"/>
      <c r="K262" s="51"/>
      <c r="L262" s="51"/>
      <c r="M262" s="51"/>
      <c r="N262" s="51"/>
    </row>
    <row r="263" spans="5:14">
      <c r="E263" s="9">
        <f t="shared" si="5"/>
        <v>20276</v>
      </c>
      <c r="F263" s="19" t="s">
        <v>237</v>
      </c>
      <c r="G263" s="39">
        <v>70</v>
      </c>
      <c r="I263" s="47"/>
      <c r="J263" s="51"/>
      <c r="K263" s="51"/>
      <c r="L263" s="51"/>
      <c r="M263" s="51"/>
      <c r="N263" s="51"/>
    </row>
    <row r="264" spans="5:14">
      <c r="E264" s="9">
        <f t="shared" si="5"/>
        <v>20277</v>
      </c>
      <c r="F264" s="19" t="s">
        <v>238</v>
      </c>
      <c r="G264" s="39">
        <v>31</v>
      </c>
      <c r="I264" s="47"/>
      <c r="J264" s="51"/>
      <c r="K264" s="51"/>
      <c r="L264" s="51"/>
      <c r="M264" s="51"/>
      <c r="N264" s="51"/>
    </row>
    <row r="265" spans="5:14">
      <c r="E265" s="9">
        <f t="shared" si="5"/>
        <v>20278</v>
      </c>
      <c r="F265" s="19" t="s">
        <v>239</v>
      </c>
      <c r="G265" s="39">
        <v>24</v>
      </c>
      <c r="I265" s="47"/>
      <c r="J265" s="51"/>
      <c r="K265" s="51"/>
      <c r="L265" s="51"/>
      <c r="M265" s="51"/>
      <c r="N265" s="51"/>
    </row>
    <row r="266" spans="5:14">
      <c r="E266" s="9">
        <f t="shared" si="5"/>
        <v>20279</v>
      </c>
      <c r="F266" s="19" t="s">
        <v>240</v>
      </c>
      <c r="G266" s="39">
        <v>72</v>
      </c>
      <c r="I266" s="47"/>
      <c r="J266" s="51"/>
      <c r="K266" s="51"/>
      <c r="L266" s="51"/>
      <c r="M266" s="51"/>
      <c r="N266" s="51"/>
    </row>
    <row r="267" spans="5:14">
      <c r="E267" s="9">
        <f t="shared" ref="E267:E331" si="6">1+E266</f>
        <v>20280</v>
      </c>
      <c r="F267" s="19" t="s">
        <v>241</v>
      </c>
      <c r="G267" s="39">
        <v>13</v>
      </c>
      <c r="I267" s="47"/>
      <c r="J267" s="51"/>
      <c r="K267" s="51"/>
      <c r="L267" s="51"/>
      <c r="M267" s="51"/>
      <c r="N267" s="51"/>
    </row>
    <row r="268" spans="5:14">
      <c r="E268" s="9">
        <f t="shared" si="6"/>
        <v>20281</v>
      </c>
      <c r="F268" s="19" t="s">
        <v>242</v>
      </c>
      <c r="G268" s="39">
        <v>12</v>
      </c>
      <c r="I268" s="47"/>
      <c r="J268" s="51"/>
      <c r="K268" s="51"/>
      <c r="L268" s="51"/>
      <c r="M268" s="51"/>
      <c r="N268" s="51"/>
    </row>
    <row r="269" spans="5:14">
      <c r="E269" s="9">
        <f t="shared" si="6"/>
        <v>20282</v>
      </c>
      <c r="F269" s="19" t="s">
        <v>243</v>
      </c>
      <c r="G269" s="39">
        <v>850</v>
      </c>
      <c r="I269" s="47"/>
      <c r="J269" s="51"/>
      <c r="K269" s="51"/>
      <c r="L269" s="51"/>
      <c r="M269" s="51"/>
      <c r="N269" s="51"/>
    </row>
    <row r="270" spans="5:14">
      <c r="E270" s="9">
        <f t="shared" si="6"/>
        <v>20283</v>
      </c>
      <c r="F270" s="19" t="s">
        <v>244</v>
      </c>
      <c r="G270" s="39">
        <v>90</v>
      </c>
      <c r="I270" s="47"/>
      <c r="J270" s="51"/>
      <c r="K270" s="51"/>
      <c r="L270" s="51"/>
      <c r="M270" s="51"/>
      <c r="N270" s="51"/>
    </row>
    <row r="271" spans="5:14">
      <c r="E271" s="9">
        <f t="shared" si="6"/>
        <v>20284</v>
      </c>
      <c r="F271" s="19" t="s">
        <v>245</v>
      </c>
      <c r="G271" s="39">
        <v>5</v>
      </c>
      <c r="I271" s="47"/>
      <c r="J271" s="51"/>
      <c r="K271" s="51"/>
      <c r="L271" s="51"/>
      <c r="M271" s="51"/>
      <c r="N271" s="51"/>
    </row>
    <row r="272" spans="5:14">
      <c r="E272" s="9">
        <f t="shared" si="6"/>
        <v>20285</v>
      </c>
      <c r="F272" s="19" t="s">
        <v>246</v>
      </c>
      <c r="G272" s="39">
        <v>50</v>
      </c>
      <c r="I272" s="47"/>
      <c r="J272" s="51"/>
      <c r="K272" s="51"/>
      <c r="L272" s="51"/>
      <c r="M272" s="51"/>
      <c r="N272" s="51"/>
    </row>
    <row r="273" spans="5:14">
      <c r="E273" s="9">
        <f t="shared" si="6"/>
        <v>20286</v>
      </c>
      <c r="F273" s="19" t="s">
        <v>247</v>
      </c>
      <c r="G273" s="39">
        <f>158+232</f>
        <v>390</v>
      </c>
      <c r="I273" s="47"/>
      <c r="J273" s="51"/>
      <c r="K273" s="51"/>
      <c r="L273" s="51"/>
      <c r="M273" s="51"/>
      <c r="N273" s="51"/>
    </row>
    <row r="274" spans="5:14">
      <c r="E274" s="9">
        <f t="shared" si="6"/>
        <v>20287</v>
      </c>
      <c r="F274" s="19" t="s">
        <v>248</v>
      </c>
      <c r="G274" s="39">
        <f>213+70</f>
        <v>283</v>
      </c>
      <c r="I274" s="47"/>
      <c r="J274" s="51"/>
      <c r="K274" s="51"/>
      <c r="L274" s="51"/>
      <c r="M274" s="51"/>
      <c r="N274" s="51"/>
    </row>
    <row r="275" spans="5:14">
      <c r="E275" s="9">
        <f t="shared" si="6"/>
        <v>20288</v>
      </c>
      <c r="F275" s="19" t="s">
        <v>249</v>
      </c>
      <c r="G275" s="39">
        <v>60</v>
      </c>
      <c r="I275" s="47"/>
      <c r="J275" s="51"/>
      <c r="K275" s="51"/>
      <c r="L275" s="51"/>
      <c r="M275" s="51"/>
      <c r="N275" s="51"/>
    </row>
    <row r="276" spans="5:14">
      <c r="E276" s="9">
        <f t="shared" si="6"/>
        <v>20289</v>
      </c>
      <c r="F276" s="19" t="s">
        <v>250</v>
      </c>
      <c r="G276" s="39">
        <v>40</v>
      </c>
      <c r="I276" s="47"/>
      <c r="J276" s="51"/>
      <c r="K276" s="51"/>
      <c r="L276" s="51"/>
      <c r="M276" s="51"/>
      <c r="N276" s="51"/>
    </row>
    <row r="277" spans="5:14">
      <c r="E277" s="9">
        <f t="shared" si="6"/>
        <v>20290</v>
      </c>
      <c r="F277" s="19" t="s">
        <v>251</v>
      </c>
      <c r="G277" s="39">
        <v>40</v>
      </c>
      <c r="I277" s="47"/>
      <c r="J277" s="51"/>
      <c r="K277" s="51"/>
      <c r="L277" s="51"/>
      <c r="M277" s="51"/>
      <c r="N277" s="51"/>
    </row>
    <row r="278" spans="5:14">
      <c r="E278" s="9">
        <f t="shared" si="6"/>
        <v>20291</v>
      </c>
      <c r="F278" s="19" t="s">
        <v>252</v>
      </c>
      <c r="G278" s="39">
        <v>50</v>
      </c>
      <c r="I278" s="47"/>
      <c r="J278" s="51"/>
      <c r="K278" s="51"/>
      <c r="L278" s="51"/>
      <c r="M278" s="51"/>
      <c r="N278" s="51"/>
    </row>
    <row r="279" spans="5:14">
      <c r="E279" s="9">
        <f t="shared" si="6"/>
        <v>20292</v>
      </c>
      <c r="F279" s="19" t="s">
        <v>253</v>
      </c>
      <c r="G279" s="39">
        <v>50</v>
      </c>
      <c r="I279" s="47"/>
      <c r="J279" s="51"/>
      <c r="K279" s="51"/>
      <c r="L279" s="51"/>
      <c r="M279" s="51"/>
      <c r="N279" s="51"/>
    </row>
    <row r="280" spans="5:14">
      <c r="E280" s="9">
        <f t="shared" si="6"/>
        <v>20293</v>
      </c>
      <c r="F280" s="19" t="s">
        <v>254</v>
      </c>
      <c r="G280" s="39">
        <v>5</v>
      </c>
      <c r="I280" s="47"/>
      <c r="J280" s="51"/>
      <c r="K280" s="51"/>
      <c r="L280" s="51"/>
      <c r="M280" s="51"/>
      <c r="N280" s="51"/>
    </row>
    <row r="281" spans="5:14">
      <c r="E281" s="9">
        <f t="shared" si="6"/>
        <v>20294</v>
      </c>
      <c r="F281" s="19" t="s">
        <v>255</v>
      </c>
      <c r="G281" s="39">
        <v>45</v>
      </c>
      <c r="I281" s="47"/>
      <c r="J281" s="51"/>
      <c r="K281" s="51"/>
      <c r="L281" s="51"/>
      <c r="M281" s="51"/>
      <c r="N281" s="51"/>
    </row>
    <row r="282" spans="5:14">
      <c r="E282" s="9">
        <f t="shared" si="6"/>
        <v>20295</v>
      </c>
      <c r="F282" s="19" t="s">
        <v>256</v>
      </c>
      <c r="G282" s="39">
        <v>60</v>
      </c>
      <c r="I282" s="47"/>
      <c r="J282" s="51"/>
      <c r="K282" s="51"/>
      <c r="L282" s="51"/>
      <c r="M282" s="51"/>
      <c r="N282" s="51"/>
    </row>
    <row r="283" spans="5:14">
      <c r="E283" s="9">
        <f t="shared" si="6"/>
        <v>20296</v>
      </c>
      <c r="F283" s="19" t="s">
        <v>257</v>
      </c>
      <c r="G283" s="39">
        <v>9</v>
      </c>
      <c r="I283" s="47"/>
      <c r="J283" s="51"/>
      <c r="K283" s="51"/>
      <c r="L283" s="51"/>
      <c r="M283" s="51"/>
      <c r="N283" s="51"/>
    </row>
    <row r="284" spans="5:14">
      <c r="E284" s="9">
        <f t="shared" si="6"/>
        <v>20297</v>
      </c>
      <c r="F284" s="19" t="s">
        <v>258</v>
      </c>
      <c r="G284" s="39">
        <v>4</v>
      </c>
      <c r="I284" s="47"/>
      <c r="J284" s="51"/>
      <c r="K284" s="51"/>
      <c r="L284" s="51"/>
      <c r="M284" s="51"/>
      <c r="N284" s="51"/>
    </row>
    <row r="285" spans="5:14">
      <c r="E285" s="9">
        <f t="shared" si="6"/>
        <v>20298</v>
      </c>
      <c r="F285" s="19" t="s">
        <v>259</v>
      </c>
      <c r="G285" s="39">
        <v>4</v>
      </c>
      <c r="I285" s="47"/>
      <c r="J285" s="51"/>
      <c r="K285" s="51"/>
      <c r="L285" s="51"/>
      <c r="M285" s="51"/>
      <c r="N285" s="51"/>
    </row>
    <row r="286" spans="5:14">
      <c r="E286" s="9">
        <f t="shared" si="6"/>
        <v>20299</v>
      </c>
      <c r="F286" s="19" t="s">
        <v>260</v>
      </c>
      <c r="G286" s="39">
        <v>500</v>
      </c>
      <c r="I286" s="47"/>
      <c r="J286" s="51"/>
      <c r="K286" s="51"/>
      <c r="L286" s="51"/>
      <c r="M286" s="51"/>
      <c r="N286" s="51"/>
    </row>
    <row r="287" spans="5:14">
      <c r="E287" s="9">
        <f t="shared" si="6"/>
        <v>20300</v>
      </c>
      <c r="F287" s="19" t="s">
        <v>261</v>
      </c>
      <c r="G287" s="39">
        <v>4000</v>
      </c>
      <c r="I287" s="47"/>
      <c r="J287" s="51"/>
      <c r="K287" s="51"/>
      <c r="L287" s="51"/>
      <c r="M287" s="51"/>
      <c r="N287" s="51"/>
    </row>
    <row r="288" spans="5:14">
      <c r="E288" s="9">
        <f t="shared" si="6"/>
        <v>20301</v>
      </c>
      <c r="F288" s="19" t="s">
        <v>261</v>
      </c>
      <c r="G288" s="39">
        <v>222</v>
      </c>
      <c r="I288" s="47"/>
      <c r="J288" s="51"/>
      <c r="K288" s="51"/>
      <c r="L288" s="51"/>
      <c r="M288" s="51"/>
      <c r="N288" s="51"/>
    </row>
    <row r="289" spans="5:14">
      <c r="E289" s="9">
        <f t="shared" si="6"/>
        <v>20302</v>
      </c>
      <c r="F289" s="19" t="s">
        <v>262</v>
      </c>
      <c r="G289" s="39">
        <v>25</v>
      </c>
      <c r="I289" s="47"/>
      <c r="J289" s="51"/>
      <c r="K289" s="51"/>
      <c r="L289" s="51"/>
      <c r="M289" s="51"/>
      <c r="N289" s="51"/>
    </row>
    <row r="290" spans="5:14">
      <c r="E290" s="9">
        <f t="shared" si="6"/>
        <v>20303</v>
      </c>
      <c r="F290" s="19" t="s">
        <v>263</v>
      </c>
      <c r="G290" s="39">
        <v>60</v>
      </c>
      <c r="I290" s="47"/>
      <c r="J290" s="51"/>
      <c r="K290" s="51"/>
      <c r="L290" s="51"/>
      <c r="M290" s="51"/>
      <c r="N290" s="51"/>
    </row>
    <row r="291" spans="5:14">
      <c r="E291" s="9">
        <f t="shared" si="6"/>
        <v>20304</v>
      </c>
      <c r="F291" s="19" t="s">
        <v>264</v>
      </c>
      <c r="G291" s="35">
        <v>250</v>
      </c>
      <c r="I291" s="47"/>
    </row>
    <row r="292" spans="5:14">
      <c r="E292" s="9">
        <f t="shared" si="6"/>
        <v>20305</v>
      </c>
      <c r="F292" s="19" t="s">
        <v>265</v>
      </c>
      <c r="G292" s="35">
        <v>50</v>
      </c>
      <c r="I292" s="47"/>
    </row>
    <row r="293" spans="5:14">
      <c r="E293" s="9">
        <f t="shared" si="6"/>
        <v>20306</v>
      </c>
      <c r="F293" s="15" t="s">
        <v>266</v>
      </c>
      <c r="G293" s="35">
        <v>60</v>
      </c>
      <c r="I293" s="47"/>
    </row>
    <row r="294" spans="5:14">
      <c r="E294" s="9">
        <f t="shared" si="6"/>
        <v>20307</v>
      </c>
      <c r="F294" s="19" t="s">
        <v>267</v>
      </c>
      <c r="G294" s="35">
        <v>200</v>
      </c>
      <c r="I294" s="47"/>
    </row>
    <row r="295" spans="5:14">
      <c r="E295" s="9">
        <f t="shared" si="6"/>
        <v>20308</v>
      </c>
      <c r="F295" s="15" t="s">
        <v>268</v>
      </c>
      <c r="G295" s="35">
        <v>169</v>
      </c>
      <c r="I295" s="47"/>
    </row>
    <row r="296" spans="5:14">
      <c r="E296" s="9">
        <f t="shared" si="6"/>
        <v>20309</v>
      </c>
      <c r="F296" s="19" t="s">
        <v>269</v>
      </c>
      <c r="G296" s="35">
        <v>1000</v>
      </c>
      <c r="I296" s="47"/>
    </row>
    <row r="297" spans="5:14">
      <c r="E297" s="9">
        <f t="shared" si="6"/>
        <v>20310</v>
      </c>
      <c r="F297" s="15" t="s">
        <v>270</v>
      </c>
      <c r="G297" s="35">
        <f>99+144</f>
        <v>243</v>
      </c>
      <c r="I297" s="47"/>
    </row>
    <row r="298" spans="5:14">
      <c r="E298" s="9">
        <f t="shared" si="6"/>
        <v>20311</v>
      </c>
      <c r="F298" s="19" t="s">
        <v>271</v>
      </c>
      <c r="G298" s="35">
        <v>100</v>
      </c>
      <c r="I298" s="47"/>
    </row>
    <row r="299" spans="5:14">
      <c r="E299" s="9">
        <f t="shared" si="6"/>
        <v>20312</v>
      </c>
      <c r="F299" s="15" t="s">
        <v>272</v>
      </c>
      <c r="G299" s="35">
        <v>76</v>
      </c>
      <c r="I299" s="47"/>
    </row>
    <row r="300" spans="5:14">
      <c r="E300" s="9">
        <f t="shared" si="6"/>
        <v>20313</v>
      </c>
      <c r="F300" s="19" t="s">
        <v>273</v>
      </c>
      <c r="G300" s="35">
        <v>14</v>
      </c>
      <c r="I300" s="47"/>
    </row>
    <row r="301" spans="5:14">
      <c r="E301" s="9">
        <f t="shared" si="6"/>
        <v>20314</v>
      </c>
      <c r="F301" s="15" t="s">
        <v>274</v>
      </c>
      <c r="G301" s="35">
        <f>300*55</f>
        <v>16500</v>
      </c>
      <c r="I301" s="47"/>
    </row>
    <row r="302" spans="5:14">
      <c r="E302" s="9">
        <f t="shared" si="6"/>
        <v>20315</v>
      </c>
      <c r="F302" s="19" t="s">
        <v>275</v>
      </c>
      <c r="G302" s="35">
        <f>50*100</f>
        <v>5000</v>
      </c>
      <c r="I302" s="47"/>
    </row>
    <row r="303" spans="5:14">
      <c r="E303" s="9">
        <f t="shared" si="6"/>
        <v>20316</v>
      </c>
      <c r="F303" s="15" t="s">
        <v>276</v>
      </c>
      <c r="G303" s="35">
        <f>48*100</f>
        <v>4800</v>
      </c>
      <c r="I303" s="47"/>
    </row>
    <row r="304" spans="5:14">
      <c r="E304" s="9">
        <f t="shared" si="6"/>
        <v>20317</v>
      </c>
      <c r="F304" s="19" t="s">
        <v>277</v>
      </c>
      <c r="G304" s="35">
        <v>99</v>
      </c>
      <c r="I304" s="47"/>
    </row>
    <row r="305" spans="5:9">
      <c r="E305" s="9">
        <f t="shared" si="6"/>
        <v>20318</v>
      </c>
      <c r="F305" s="15" t="s">
        <v>278</v>
      </c>
      <c r="G305" s="35">
        <f>23*10</f>
        <v>230</v>
      </c>
      <c r="I305" s="47"/>
    </row>
    <row r="306" spans="5:9">
      <c r="E306" s="9">
        <f t="shared" si="6"/>
        <v>20319</v>
      </c>
      <c r="F306" s="19" t="s">
        <v>279</v>
      </c>
      <c r="G306" s="35">
        <v>21</v>
      </c>
      <c r="I306" s="47"/>
    </row>
    <row r="307" spans="5:9">
      <c r="E307" s="9">
        <f t="shared" si="6"/>
        <v>20320</v>
      </c>
      <c r="F307" s="15" t="s">
        <v>280</v>
      </c>
      <c r="G307" s="35">
        <f>30*500</f>
        <v>15000</v>
      </c>
      <c r="I307" s="47"/>
    </row>
    <row r="308" spans="5:9">
      <c r="E308" s="9">
        <f t="shared" si="6"/>
        <v>20321</v>
      </c>
      <c r="F308" s="19" t="s">
        <v>484</v>
      </c>
      <c r="G308" s="35">
        <f>730*4</f>
        <v>2920</v>
      </c>
      <c r="I308" s="47"/>
    </row>
    <row r="309" spans="5:9">
      <c r="E309" s="9">
        <f t="shared" si="6"/>
        <v>20322</v>
      </c>
      <c r="F309" s="19" t="s">
        <v>485</v>
      </c>
      <c r="G309" s="35">
        <f>167*10</f>
        <v>1670</v>
      </c>
      <c r="I309" s="47"/>
    </row>
    <row r="310" spans="5:9">
      <c r="E310" s="9">
        <f t="shared" si="6"/>
        <v>20323</v>
      </c>
      <c r="F310" s="15" t="s">
        <v>281</v>
      </c>
      <c r="G310" s="35">
        <f>117*50</f>
        <v>5850</v>
      </c>
      <c r="I310" s="47"/>
    </row>
    <row r="311" spans="5:9">
      <c r="E311" s="9">
        <f t="shared" si="6"/>
        <v>20324</v>
      </c>
      <c r="F311" s="19" t="s">
        <v>282</v>
      </c>
      <c r="G311" s="35">
        <f>720*24</f>
        <v>17280</v>
      </c>
      <c r="I311" s="47"/>
    </row>
    <row r="312" spans="5:9">
      <c r="E312" s="9">
        <f t="shared" si="6"/>
        <v>20325</v>
      </c>
      <c r="F312" s="15" t="s">
        <v>283</v>
      </c>
      <c r="G312" s="35">
        <f>10*10</f>
        <v>100</v>
      </c>
      <c r="I312" s="47"/>
    </row>
    <row r="313" spans="5:9">
      <c r="E313" s="9">
        <f t="shared" si="6"/>
        <v>20326</v>
      </c>
      <c r="F313" s="15" t="s">
        <v>284</v>
      </c>
      <c r="G313" s="35">
        <v>90</v>
      </c>
      <c r="I313" s="47"/>
    </row>
    <row r="314" spans="5:9">
      <c r="E314" s="9">
        <f t="shared" si="6"/>
        <v>20327</v>
      </c>
      <c r="F314" s="15" t="s">
        <v>285</v>
      </c>
      <c r="G314" s="35">
        <v>100</v>
      </c>
      <c r="I314" s="47"/>
    </row>
    <row r="315" spans="5:9">
      <c r="E315" s="9">
        <f t="shared" si="6"/>
        <v>20328</v>
      </c>
      <c r="F315" s="15" t="s">
        <v>286</v>
      </c>
      <c r="G315" s="35">
        <v>90</v>
      </c>
      <c r="I315" s="47"/>
    </row>
    <row r="316" spans="5:9">
      <c r="E316" s="9">
        <f t="shared" si="6"/>
        <v>20329</v>
      </c>
      <c r="F316" s="15" t="s">
        <v>287</v>
      </c>
      <c r="G316" s="35">
        <v>900</v>
      </c>
      <c r="I316" s="47"/>
    </row>
    <row r="317" spans="5:9">
      <c r="E317" s="9">
        <f t="shared" si="6"/>
        <v>20330</v>
      </c>
      <c r="F317" s="15" t="s">
        <v>288</v>
      </c>
      <c r="G317" s="35">
        <v>1500</v>
      </c>
      <c r="I317" s="47"/>
    </row>
    <row r="318" spans="5:9">
      <c r="E318" s="9">
        <f t="shared" si="6"/>
        <v>20331</v>
      </c>
      <c r="F318" s="15" t="s">
        <v>289</v>
      </c>
      <c r="G318" s="35">
        <v>1000</v>
      </c>
      <c r="I318" s="47"/>
    </row>
    <row r="319" spans="5:9">
      <c r="E319" s="9">
        <f t="shared" si="6"/>
        <v>20332</v>
      </c>
      <c r="F319" s="15" t="s">
        <v>290</v>
      </c>
      <c r="G319" s="35">
        <v>30</v>
      </c>
      <c r="I319" s="47"/>
    </row>
    <row r="320" spans="5:9">
      <c r="E320" s="9">
        <f t="shared" si="6"/>
        <v>20333</v>
      </c>
      <c r="F320" s="15" t="s">
        <v>291</v>
      </c>
      <c r="G320" s="35">
        <v>750</v>
      </c>
      <c r="I320" s="47"/>
    </row>
    <row r="321" spans="5:9">
      <c r="E321" s="9">
        <f t="shared" si="6"/>
        <v>20334</v>
      </c>
      <c r="F321" s="15" t="s">
        <v>292</v>
      </c>
      <c r="G321" s="35">
        <f>800+399</f>
        <v>1199</v>
      </c>
      <c r="I321" s="47"/>
    </row>
    <row r="322" spans="5:9">
      <c r="E322" s="9">
        <f t="shared" si="6"/>
        <v>20335</v>
      </c>
      <c r="F322" s="15" t="s">
        <v>293</v>
      </c>
      <c r="G322" s="35">
        <v>250</v>
      </c>
      <c r="I322" s="47"/>
    </row>
    <row r="323" spans="5:9">
      <c r="E323" s="9">
        <f t="shared" si="6"/>
        <v>20336</v>
      </c>
      <c r="F323" s="15" t="s">
        <v>294</v>
      </c>
      <c r="G323" s="35">
        <v>200</v>
      </c>
      <c r="I323" s="47"/>
    </row>
    <row r="324" spans="5:9">
      <c r="E324" s="9">
        <f t="shared" si="6"/>
        <v>20337</v>
      </c>
      <c r="F324" s="15" t="s">
        <v>295</v>
      </c>
      <c r="G324" s="35">
        <f>230*2000</f>
        <v>460000</v>
      </c>
      <c r="I324" s="47"/>
    </row>
    <row r="325" spans="5:9">
      <c r="E325" s="9">
        <f t="shared" si="6"/>
        <v>20338</v>
      </c>
      <c r="F325" s="15" t="s">
        <v>296</v>
      </c>
      <c r="G325" s="35">
        <v>34</v>
      </c>
      <c r="I325" s="47"/>
    </row>
    <row r="326" spans="5:9">
      <c r="E326" s="9">
        <f t="shared" si="6"/>
        <v>20339</v>
      </c>
      <c r="F326" s="15" t="s">
        <v>297</v>
      </c>
      <c r="G326" s="35">
        <v>57</v>
      </c>
      <c r="I326" s="47"/>
    </row>
    <row r="327" spans="5:9">
      <c r="E327" s="9">
        <f t="shared" si="6"/>
        <v>20340</v>
      </c>
      <c r="F327" s="27" t="s">
        <v>505</v>
      </c>
      <c r="G327" s="35">
        <f>49*100</f>
        <v>4900</v>
      </c>
      <c r="I327" s="47"/>
    </row>
    <row r="328" spans="5:9">
      <c r="E328" s="9">
        <f t="shared" si="6"/>
        <v>20341</v>
      </c>
      <c r="F328" s="27" t="s">
        <v>451</v>
      </c>
      <c r="G328" s="35">
        <f>44*100</f>
        <v>4400</v>
      </c>
      <c r="I328" s="47"/>
    </row>
    <row r="329" spans="5:9">
      <c r="E329" s="9">
        <f t="shared" si="6"/>
        <v>20342</v>
      </c>
      <c r="F329" s="15" t="s">
        <v>298</v>
      </c>
      <c r="G329" s="35">
        <f>28*80</f>
        <v>2240</v>
      </c>
      <c r="I329" s="47"/>
    </row>
    <row r="330" spans="5:9">
      <c r="E330" s="9">
        <f t="shared" si="6"/>
        <v>20343</v>
      </c>
      <c r="F330" s="15" t="s">
        <v>299</v>
      </c>
      <c r="G330" s="40">
        <v>300</v>
      </c>
      <c r="I330" s="47"/>
    </row>
    <row r="331" spans="5:9">
      <c r="E331" s="9">
        <f t="shared" si="6"/>
        <v>20344</v>
      </c>
      <c r="F331" s="15" t="s">
        <v>300</v>
      </c>
      <c r="G331" s="40">
        <v>300</v>
      </c>
      <c r="I331" s="47"/>
    </row>
    <row r="332" spans="5:9">
      <c r="E332" s="9">
        <f t="shared" ref="E332:E395" si="7">1+E331</f>
        <v>20345</v>
      </c>
      <c r="F332" s="15" t="s">
        <v>301</v>
      </c>
      <c r="G332" s="35">
        <f>41*24</f>
        <v>984</v>
      </c>
      <c r="I332" s="47"/>
    </row>
    <row r="333" spans="5:9">
      <c r="E333" s="9">
        <f t="shared" si="7"/>
        <v>20346</v>
      </c>
      <c r="F333" s="15" t="s">
        <v>302</v>
      </c>
      <c r="G333" s="35">
        <f>4*1000</f>
        <v>4000</v>
      </c>
      <c r="I333" s="47"/>
    </row>
    <row r="334" spans="5:9">
      <c r="E334" s="9">
        <f t="shared" si="7"/>
        <v>20347</v>
      </c>
      <c r="F334" s="15" t="s">
        <v>303</v>
      </c>
      <c r="G334" s="35">
        <v>14</v>
      </c>
      <c r="I334" s="47"/>
    </row>
    <row r="335" spans="5:9">
      <c r="E335" s="9">
        <f t="shared" si="7"/>
        <v>20348</v>
      </c>
      <c r="F335" s="15" t="s">
        <v>304</v>
      </c>
      <c r="G335" s="35">
        <v>6</v>
      </c>
      <c r="I335" s="47"/>
    </row>
    <row r="336" spans="5:9">
      <c r="E336" s="9">
        <f t="shared" si="7"/>
        <v>20349</v>
      </c>
      <c r="F336" s="15" t="s">
        <v>305</v>
      </c>
      <c r="G336" s="35">
        <v>17</v>
      </c>
      <c r="I336" s="47"/>
    </row>
    <row r="337" spans="5:9">
      <c r="E337" s="9">
        <f t="shared" si="7"/>
        <v>20350</v>
      </c>
      <c r="F337" s="15" t="s">
        <v>306</v>
      </c>
      <c r="G337" s="35">
        <v>400</v>
      </c>
      <c r="I337" s="47"/>
    </row>
    <row r="338" spans="5:9">
      <c r="E338" s="9">
        <f t="shared" si="7"/>
        <v>20351</v>
      </c>
      <c r="F338" s="15" t="s">
        <v>307</v>
      </c>
      <c r="G338" s="35">
        <v>150</v>
      </c>
      <c r="I338" s="47"/>
    </row>
    <row r="339" spans="5:9">
      <c r="E339" s="9">
        <f t="shared" si="7"/>
        <v>20352</v>
      </c>
      <c r="F339" s="15" t="s">
        <v>308</v>
      </c>
      <c r="G339" s="35">
        <v>100</v>
      </c>
      <c r="I339" s="47"/>
    </row>
    <row r="340" spans="5:9">
      <c r="E340" s="9">
        <f t="shared" si="7"/>
        <v>20353</v>
      </c>
      <c r="F340" s="15" t="s">
        <v>309</v>
      </c>
      <c r="G340" s="35">
        <v>900</v>
      </c>
      <c r="I340" s="47"/>
    </row>
    <row r="341" spans="5:9">
      <c r="E341" s="9">
        <f t="shared" si="7"/>
        <v>20354</v>
      </c>
      <c r="F341" s="15" t="s">
        <v>310</v>
      </c>
      <c r="G341" s="35">
        <v>300</v>
      </c>
      <c r="I341" s="47"/>
    </row>
    <row r="342" spans="5:9">
      <c r="E342" s="9">
        <f t="shared" si="7"/>
        <v>20355</v>
      </c>
      <c r="F342" s="15" t="s">
        <v>311</v>
      </c>
      <c r="G342" s="35">
        <v>500</v>
      </c>
      <c r="I342" s="47"/>
    </row>
    <row r="343" spans="5:9">
      <c r="E343" s="9">
        <f t="shared" si="7"/>
        <v>20356</v>
      </c>
      <c r="F343" s="15" t="s">
        <v>312</v>
      </c>
      <c r="G343" s="35">
        <v>500</v>
      </c>
      <c r="I343" s="47"/>
    </row>
    <row r="344" spans="5:9">
      <c r="E344" s="9">
        <f t="shared" si="7"/>
        <v>20357</v>
      </c>
      <c r="F344" s="15" t="s">
        <v>313</v>
      </c>
      <c r="G344" s="35">
        <v>250</v>
      </c>
      <c r="I344" s="47"/>
    </row>
    <row r="345" spans="5:9">
      <c r="E345" s="9">
        <f t="shared" si="7"/>
        <v>20358</v>
      </c>
      <c r="F345" s="15" t="s">
        <v>314</v>
      </c>
      <c r="G345" s="35">
        <v>216</v>
      </c>
      <c r="I345" s="47"/>
    </row>
    <row r="346" spans="5:9">
      <c r="E346" s="9">
        <f t="shared" si="7"/>
        <v>20359</v>
      </c>
      <c r="F346" s="15" t="s">
        <v>315</v>
      </c>
      <c r="G346" s="35">
        <v>44</v>
      </c>
      <c r="I346" s="47"/>
    </row>
    <row r="347" spans="5:9">
      <c r="E347" s="9">
        <f t="shared" si="7"/>
        <v>20360</v>
      </c>
      <c r="F347" s="15" t="s">
        <v>316</v>
      </c>
      <c r="G347" s="35">
        <v>400</v>
      </c>
      <c r="I347" s="47"/>
    </row>
    <row r="348" spans="5:9">
      <c r="E348" s="9">
        <f t="shared" si="7"/>
        <v>20361</v>
      </c>
      <c r="F348" s="15" t="s">
        <v>317</v>
      </c>
      <c r="G348" s="35">
        <v>216</v>
      </c>
      <c r="I348" s="47"/>
    </row>
    <row r="349" spans="5:9">
      <c r="E349" s="9">
        <f t="shared" si="7"/>
        <v>20362</v>
      </c>
      <c r="F349" s="15" t="s">
        <v>415</v>
      </c>
      <c r="G349" s="35">
        <v>2750</v>
      </c>
      <c r="I349" s="47"/>
    </row>
    <row r="350" spans="5:9">
      <c r="E350" s="9">
        <f t="shared" si="7"/>
        <v>20363</v>
      </c>
      <c r="F350" s="15" t="s">
        <v>318</v>
      </c>
      <c r="G350" s="35">
        <v>100</v>
      </c>
      <c r="I350" s="47"/>
    </row>
    <row r="351" spans="5:9">
      <c r="E351" s="9">
        <f t="shared" si="7"/>
        <v>20364</v>
      </c>
      <c r="F351" s="15" t="s">
        <v>319</v>
      </c>
      <c r="G351" s="35">
        <v>100</v>
      </c>
      <c r="I351" s="47"/>
    </row>
    <row r="352" spans="5:9">
      <c r="E352" s="9">
        <f t="shared" si="7"/>
        <v>20365</v>
      </c>
      <c r="F352" s="15" t="s">
        <v>320</v>
      </c>
      <c r="G352" s="35">
        <v>30</v>
      </c>
      <c r="I352" s="47"/>
    </row>
    <row r="353" spans="5:9">
      <c r="E353" s="9">
        <f t="shared" si="7"/>
        <v>20366</v>
      </c>
      <c r="F353" s="15" t="s">
        <v>321</v>
      </c>
      <c r="G353" s="35">
        <v>200</v>
      </c>
      <c r="I353" s="47"/>
    </row>
    <row r="354" spans="5:9">
      <c r="E354" s="9">
        <f t="shared" si="7"/>
        <v>20367</v>
      </c>
      <c r="F354" s="15" t="s">
        <v>322</v>
      </c>
      <c r="G354" s="35">
        <v>50</v>
      </c>
      <c r="I354" s="47"/>
    </row>
    <row r="355" spans="5:9">
      <c r="E355" s="9">
        <f t="shared" si="7"/>
        <v>20368</v>
      </c>
      <c r="F355" s="15" t="s">
        <v>323</v>
      </c>
      <c r="G355" s="35">
        <v>50</v>
      </c>
      <c r="I355" s="47"/>
    </row>
    <row r="356" spans="5:9">
      <c r="E356" s="9">
        <f t="shared" si="7"/>
        <v>20369</v>
      </c>
      <c r="F356" s="15" t="s">
        <v>324</v>
      </c>
      <c r="G356" s="35">
        <v>100</v>
      </c>
      <c r="I356" s="47"/>
    </row>
    <row r="357" spans="5:9">
      <c r="E357" s="9">
        <f t="shared" si="7"/>
        <v>20370</v>
      </c>
      <c r="F357" s="15" t="s">
        <v>503</v>
      </c>
      <c r="G357" s="35">
        <v>9</v>
      </c>
      <c r="I357" s="47"/>
    </row>
    <row r="358" spans="5:9">
      <c r="E358" s="9">
        <f t="shared" si="7"/>
        <v>20371</v>
      </c>
      <c r="F358" s="15" t="s">
        <v>504</v>
      </c>
      <c r="G358" s="35">
        <v>3</v>
      </c>
      <c r="I358" s="47"/>
    </row>
    <row r="359" spans="5:9">
      <c r="E359" s="9">
        <f t="shared" si="7"/>
        <v>20372</v>
      </c>
      <c r="F359" s="15" t="s">
        <v>325</v>
      </c>
      <c r="G359" s="35">
        <v>450</v>
      </c>
      <c r="I359" s="47"/>
    </row>
    <row r="360" spans="5:9">
      <c r="E360" s="9">
        <f t="shared" si="7"/>
        <v>20373</v>
      </c>
      <c r="F360" s="15" t="s">
        <v>326</v>
      </c>
      <c r="G360" s="35">
        <v>336</v>
      </c>
      <c r="I360" s="47"/>
    </row>
    <row r="361" spans="5:9">
      <c r="E361" s="9">
        <f t="shared" si="7"/>
        <v>20374</v>
      </c>
      <c r="F361" s="15" t="s">
        <v>327</v>
      </c>
      <c r="G361" s="35">
        <v>250</v>
      </c>
      <c r="I361" s="47"/>
    </row>
    <row r="362" spans="5:9">
      <c r="E362" s="9">
        <f t="shared" si="7"/>
        <v>20375</v>
      </c>
      <c r="F362" s="15" t="s">
        <v>328</v>
      </c>
      <c r="G362" s="35">
        <v>12</v>
      </c>
      <c r="I362" s="47"/>
    </row>
    <row r="363" spans="5:9">
      <c r="E363" s="9">
        <f t="shared" si="7"/>
        <v>20376</v>
      </c>
      <c r="F363" s="15" t="s">
        <v>329</v>
      </c>
      <c r="G363" s="35">
        <v>108</v>
      </c>
      <c r="I363" s="47"/>
    </row>
    <row r="364" spans="5:9">
      <c r="E364" s="9">
        <f t="shared" si="7"/>
        <v>20377</v>
      </c>
      <c r="F364" s="15" t="s">
        <v>330</v>
      </c>
      <c r="G364" s="35">
        <v>6000</v>
      </c>
      <c r="I364" s="47"/>
    </row>
    <row r="365" spans="5:9">
      <c r="E365" s="9">
        <f>1+E364</f>
        <v>20378</v>
      </c>
      <c r="F365" s="22" t="s">
        <v>331</v>
      </c>
      <c r="G365" s="41">
        <v>20</v>
      </c>
      <c r="I365" s="47"/>
    </row>
    <row r="366" spans="5:9">
      <c r="E366" s="9">
        <f t="shared" si="7"/>
        <v>20379</v>
      </c>
      <c r="F366" s="22" t="s">
        <v>332</v>
      </c>
      <c r="G366" s="41">
        <v>20</v>
      </c>
      <c r="I366" s="47"/>
    </row>
    <row r="367" spans="5:9">
      <c r="E367" s="9">
        <f t="shared" si="7"/>
        <v>20380</v>
      </c>
      <c r="F367" s="22" t="s">
        <v>333</v>
      </c>
      <c r="G367" s="41">
        <v>30</v>
      </c>
      <c r="I367" s="47"/>
    </row>
    <row r="368" spans="5:9">
      <c r="E368" s="9">
        <f t="shared" si="7"/>
        <v>20381</v>
      </c>
      <c r="F368" s="22" t="s">
        <v>334</v>
      </c>
      <c r="G368" s="41">
        <v>100</v>
      </c>
      <c r="I368" s="47"/>
    </row>
    <row r="369" spans="5:9">
      <c r="E369" s="9">
        <f t="shared" si="7"/>
        <v>20382</v>
      </c>
      <c r="F369" s="22" t="s">
        <v>335</v>
      </c>
      <c r="G369" s="41">
        <v>20</v>
      </c>
      <c r="I369" s="47"/>
    </row>
    <row r="370" spans="5:9">
      <c r="E370" s="9">
        <f t="shared" si="7"/>
        <v>20383</v>
      </c>
      <c r="F370" s="22" t="s">
        <v>336</v>
      </c>
      <c r="G370" s="41">
        <v>40</v>
      </c>
      <c r="I370" s="47"/>
    </row>
    <row r="371" spans="5:9">
      <c r="E371" s="9">
        <f t="shared" si="7"/>
        <v>20384</v>
      </c>
      <c r="F371" s="22" t="s">
        <v>337</v>
      </c>
      <c r="G371" s="41">
        <v>30</v>
      </c>
      <c r="I371" s="47"/>
    </row>
    <row r="372" spans="5:9">
      <c r="E372" s="9">
        <f t="shared" si="7"/>
        <v>20385</v>
      </c>
      <c r="F372" s="22" t="s">
        <v>338</v>
      </c>
      <c r="G372" s="41">
        <v>20</v>
      </c>
      <c r="I372" s="47"/>
    </row>
    <row r="373" spans="5:9">
      <c r="E373" s="9">
        <f t="shared" si="7"/>
        <v>20386</v>
      </c>
      <c r="F373" s="22" t="s">
        <v>339</v>
      </c>
      <c r="G373" s="41">
        <v>20</v>
      </c>
      <c r="I373" s="47"/>
    </row>
    <row r="374" spans="5:9">
      <c r="E374" s="9">
        <f t="shared" si="7"/>
        <v>20387</v>
      </c>
      <c r="F374" s="22" t="s">
        <v>340</v>
      </c>
      <c r="G374" s="41">
        <v>20</v>
      </c>
      <c r="I374" s="47"/>
    </row>
    <row r="375" spans="5:9">
      <c r="E375" s="9">
        <f t="shared" si="7"/>
        <v>20388</v>
      </c>
      <c r="F375" s="22" t="s">
        <v>341</v>
      </c>
      <c r="G375" s="41">
        <v>10</v>
      </c>
      <c r="I375" s="47"/>
    </row>
    <row r="376" spans="5:9">
      <c r="E376" s="9">
        <f t="shared" si="7"/>
        <v>20389</v>
      </c>
      <c r="F376" s="22" t="s">
        <v>342</v>
      </c>
      <c r="G376" s="41">
        <v>10</v>
      </c>
      <c r="I376" s="47"/>
    </row>
    <row r="377" spans="5:9">
      <c r="E377" s="9">
        <f t="shared" si="7"/>
        <v>20390</v>
      </c>
      <c r="F377" s="22" t="s">
        <v>343</v>
      </c>
      <c r="G377" s="41">
        <v>5</v>
      </c>
      <c r="I377" s="47"/>
    </row>
    <row r="378" spans="5:9">
      <c r="E378" s="9">
        <f t="shared" si="7"/>
        <v>20391</v>
      </c>
      <c r="F378" s="22" t="s">
        <v>344</v>
      </c>
      <c r="G378" s="41">
        <v>10</v>
      </c>
      <c r="I378" s="47"/>
    </row>
    <row r="379" spans="5:9">
      <c r="E379" s="9">
        <f t="shared" si="7"/>
        <v>20392</v>
      </c>
      <c r="F379" s="22" t="s">
        <v>345</v>
      </c>
      <c r="G379" s="41">
        <v>5</v>
      </c>
      <c r="I379" s="47"/>
    </row>
    <row r="380" spans="5:9">
      <c r="E380" s="9">
        <f t="shared" si="7"/>
        <v>20393</v>
      </c>
      <c r="F380" s="22" t="s">
        <v>346</v>
      </c>
      <c r="G380" s="41">
        <v>5</v>
      </c>
      <c r="I380" s="47"/>
    </row>
    <row r="381" spans="5:9">
      <c r="E381" s="9">
        <f t="shared" si="7"/>
        <v>20394</v>
      </c>
      <c r="F381" s="22" t="s">
        <v>347</v>
      </c>
      <c r="G381" s="41">
        <v>15</v>
      </c>
      <c r="I381" s="47"/>
    </row>
    <row r="382" spans="5:9">
      <c r="E382" s="9">
        <f t="shared" si="7"/>
        <v>20395</v>
      </c>
      <c r="F382" s="22" t="s">
        <v>348</v>
      </c>
      <c r="G382" s="41">
        <v>3</v>
      </c>
      <c r="I382" s="47"/>
    </row>
    <row r="383" spans="5:9">
      <c r="E383" s="9">
        <f t="shared" si="7"/>
        <v>20396</v>
      </c>
      <c r="F383" s="22" t="s">
        <v>349</v>
      </c>
      <c r="G383" s="41">
        <v>10</v>
      </c>
      <c r="I383" s="47"/>
    </row>
    <row r="384" spans="5:9">
      <c r="E384" s="9">
        <f t="shared" si="7"/>
        <v>20397</v>
      </c>
      <c r="F384" s="22" t="s">
        <v>350</v>
      </c>
      <c r="G384" s="41">
        <v>8</v>
      </c>
      <c r="I384" s="47"/>
    </row>
    <row r="385" spans="5:9">
      <c r="E385" s="9">
        <f t="shared" si="7"/>
        <v>20398</v>
      </c>
      <c r="F385" s="22" t="s">
        <v>351</v>
      </c>
      <c r="G385" s="41">
        <v>8</v>
      </c>
      <c r="I385" s="47"/>
    </row>
    <row r="386" spans="5:9">
      <c r="E386" s="9">
        <f t="shared" si="7"/>
        <v>20399</v>
      </c>
      <c r="F386" s="22" t="s">
        <v>352</v>
      </c>
      <c r="G386" s="41">
        <v>2</v>
      </c>
      <c r="I386" s="47"/>
    </row>
    <row r="387" spans="5:9">
      <c r="E387" s="9">
        <f t="shared" si="7"/>
        <v>20400</v>
      </c>
      <c r="F387" s="22" t="s">
        <v>353</v>
      </c>
      <c r="G387" s="41">
        <v>2</v>
      </c>
      <c r="I387" s="47"/>
    </row>
    <row r="388" spans="5:9">
      <c r="E388" s="9">
        <f t="shared" si="7"/>
        <v>20401</v>
      </c>
      <c r="F388" s="22" t="s">
        <v>354</v>
      </c>
      <c r="G388" s="41">
        <v>3</v>
      </c>
      <c r="I388" s="47"/>
    </row>
    <row r="389" spans="5:9">
      <c r="E389" s="9">
        <f t="shared" si="7"/>
        <v>20402</v>
      </c>
      <c r="F389" s="22" t="s">
        <v>355</v>
      </c>
      <c r="G389" s="41">
        <v>3</v>
      </c>
      <c r="I389" s="47"/>
    </row>
    <row r="390" spans="5:9">
      <c r="E390" s="9">
        <f t="shared" si="7"/>
        <v>20403</v>
      </c>
      <c r="F390" s="22" t="s">
        <v>356</v>
      </c>
      <c r="G390" s="41">
        <v>3</v>
      </c>
      <c r="I390" s="47"/>
    </row>
    <row r="391" spans="5:9">
      <c r="E391" s="9">
        <f t="shared" si="7"/>
        <v>20404</v>
      </c>
      <c r="F391" s="22" t="s">
        <v>357</v>
      </c>
      <c r="G391" s="41">
        <v>1</v>
      </c>
      <c r="I391" s="47"/>
    </row>
    <row r="392" spans="5:9">
      <c r="E392" s="9">
        <f t="shared" si="7"/>
        <v>20405</v>
      </c>
      <c r="F392" s="22" t="s">
        <v>358</v>
      </c>
      <c r="G392" s="41">
        <v>17</v>
      </c>
      <c r="I392" s="47"/>
    </row>
    <row r="393" spans="5:9">
      <c r="E393" s="9">
        <f t="shared" si="7"/>
        <v>20406</v>
      </c>
      <c r="F393" s="22" t="s">
        <v>359</v>
      </c>
      <c r="G393" s="41">
        <v>17</v>
      </c>
      <c r="I393" s="47"/>
    </row>
    <row r="394" spans="5:9">
      <c r="E394" s="9">
        <f t="shared" si="7"/>
        <v>20407</v>
      </c>
      <c r="F394" s="22" t="s">
        <v>360</v>
      </c>
      <c r="G394" s="41">
        <v>16</v>
      </c>
      <c r="I394" s="47"/>
    </row>
    <row r="395" spans="5:9">
      <c r="E395" s="9">
        <f t="shared" si="7"/>
        <v>20408</v>
      </c>
      <c r="F395" s="22" t="s">
        <v>361</v>
      </c>
      <c r="G395" s="41">
        <v>11</v>
      </c>
      <c r="I395" s="47"/>
    </row>
    <row r="396" spans="5:9">
      <c r="E396" s="9">
        <f t="shared" ref="E396:E459" si="8">1+E395</f>
        <v>20409</v>
      </c>
      <c r="F396" s="22" t="s">
        <v>362</v>
      </c>
      <c r="G396" s="41">
        <v>10</v>
      </c>
      <c r="I396" s="47"/>
    </row>
    <row r="397" spans="5:9">
      <c r="E397" s="9">
        <f t="shared" si="8"/>
        <v>20410</v>
      </c>
      <c r="F397" s="22" t="s">
        <v>363</v>
      </c>
      <c r="G397" s="41">
        <v>10</v>
      </c>
      <c r="I397" s="47"/>
    </row>
    <row r="398" spans="5:9">
      <c r="E398" s="9">
        <f t="shared" si="8"/>
        <v>20411</v>
      </c>
      <c r="F398" s="22" t="s">
        <v>364</v>
      </c>
      <c r="G398" s="41">
        <v>10</v>
      </c>
      <c r="I398" s="47"/>
    </row>
    <row r="399" spans="5:9">
      <c r="E399" s="9">
        <f t="shared" si="8"/>
        <v>20412</v>
      </c>
      <c r="F399" s="22" t="s">
        <v>365</v>
      </c>
      <c r="G399" s="41">
        <v>6</v>
      </c>
      <c r="I399" s="47"/>
    </row>
    <row r="400" spans="5:9">
      <c r="E400" s="9">
        <f t="shared" si="8"/>
        <v>20413</v>
      </c>
      <c r="F400" s="22" t="s">
        <v>366</v>
      </c>
      <c r="G400" s="41">
        <v>5</v>
      </c>
      <c r="I400" s="47"/>
    </row>
    <row r="401" spans="5:9">
      <c r="E401" s="9">
        <f t="shared" si="8"/>
        <v>20414</v>
      </c>
      <c r="F401" s="22" t="s">
        <v>367</v>
      </c>
      <c r="G401" s="41">
        <v>1</v>
      </c>
      <c r="I401" s="47"/>
    </row>
    <row r="402" spans="5:9">
      <c r="E402" s="9">
        <f t="shared" si="8"/>
        <v>20415</v>
      </c>
      <c r="F402" s="22" t="s">
        <v>368</v>
      </c>
      <c r="G402" s="41">
        <v>25</v>
      </c>
      <c r="I402" s="47"/>
    </row>
    <row r="403" spans="5:9">
      <c r="E403" s="9">
        <f t="shared" si="8"/>
        <v>20416</v>
      </c>
      <c r="F403" s="22" t="s">
        <v>369</v>
      </c>
      <c r="G403" s="41">
        <v>32</v>
      </c>
      <c r="I403" s="47"/>
    </row>
    <row r="404" spans="5:9">
      <c r="E404" s="9">
        <f t="shared" si="8"/>
        <v>20417</v>
      </c>
      <c r="F404" s="22" t="s">
        <v>370</v>
      </c>
      <c r="G404" s="41">
        <v>18</v>
      </c>
      <c r="I404" s="47"/>
    </row>
    <row r="405" spans="5:9">
      <c r="E405" s="9">
        <f t="shared" si="8"/>
        <v>20418</v>
      </c>
      <c r="F405" s="22" t="s">
        <v>371</v>
      </c>
      <c r="G405" s="41">
        <v>8</v>
      </c>
      <c r="I405" s="47"/>
    </row>
    <row r="406" spans="5:9">
      <c r="E406" s="9">
        <f t="shared" si="8"/>
        <v>20419</v>
      </c>
      <c r="F406" s="22" t="s">
        <v>372</v>
      </c>
      <c r="G406" s="41">
        <v>8</v>
      </c>
      <c r="I406" s="47"/>
    </row>
    <row r="407" spans="5:9">
      <c r="E407" s="9">
        <f t="shared" si="8"/>
        <v>20420</v>
      </c>
      <c r="F407" s="22" t="s">
        <v>373</v>
      </c>
      <c r="G407" s="41">
        <v>8</v>
      </c>
      <c r="I407" s="47"/>
    </row>
    <row r="408" spans="5:9">
      <c r="E408" s="9">
        <f>1+E407</f>
        <v>20421</v>
      </c>
      <c r="F408" s="15" t="s">
        <v>374</v>
      </c>
      <c r="G408" s="35">
        <f>8*8000</f>
        <v>64000</v>
      </c>
      <c r="I408" s="47"/>
    </row>
    <row r="409" spans="5:9">
      <c r="E409" s="9">
        <f t="shared" si="8"/>
        <v>20422</v>
      </c>
      <c r="F409" s="15" t="s">
        <v>375</v>
      </c>
      <c r="G409" s="35">
        <v>56</v>
      </c>
      <c r="I409" s="47"/>
    </row>
    <row r="410" spans="5:9">
      <c r="E410" s="9">
        <f t="shared" si="8"/>
        <v>20423</v>
      </c>
      <c r="F410" s="15" t="s">
        <v>376</v>
      </c>
      <c r="G410" s="35">
        <v>60</v>
      </c>
      <c r="I410" s="47"/>
    </row>
    <row r="411" spans="5:9">
      <c r="E411" s="9">
        <f t="shared" si="8"/>
        <v>20424</v>
      </c>
      <c r="F411" s="15" t="s">
        <v>377</v>
      </c>
      <c r="G411" s="35">
        <v>1200</v>
      </c>
      <c r="I411" s="47"/>
    </row>
    <row r="412" spans="5:9">
      <c r="E412" s="9">
        <f t="shared" si="8"/>
        <v>20425</v>
      </c>
      <c r="F412" s="15" t="s">
        <v>378</v>
      </c>
      <c r="G412" s="35">
        <v>900</v>
      </c>
      <c r="I412" s="47"/>
    </row>
    <row r="413" spans="5:9">
      <c r="E413" s="9">
        <f t="shared" si="8"/>
        <v>20426</v>
      </c>
      <c r="F413" s="15" t="s">
        <v>379</v>
      </c>
      <c r="G413" s="35">
        <v>500</v>
      </c>
      <c r="I413" s="47"/>
    </row>
    <row r="414" spans="5:9">
      <c r="E414" s="9">
        <f t="shared" si="8"/>
        <v>20427</v>
      </c>
      <c r="F414" s="15" t="s">
        <v>380</v>
      </c>
      <c r="G414" s="35">
        <v>16</v>
      </c>
      <c r="I414" s="47"/>
    </row>
    <row r="415" spans="5:9">
      <c r="E415" s="9">
        <f t="shared" si="8"/>
        <v>20428</v>
      </c>
      <c r="F415" s="15" t="s">
        <v>381</v>
      </c>
      <c r="G415" s="35">
        <v>8</v>
      </c>
      <c r="I415" s="47"/>
    </row>
    <row r="416" spans="5:9">
      <c r="E416" s="9">
        <f t="shared" si="8"/>
        <v>20429</v>
      </c>
      <c r="F416" s="15" t="s">
        <v>382</v>
      </c>
      <c r="G416" s="35">
        <v>2000</v>
      </c>
      <c r="I416" s="47"/>
    </row>
    <row r="417" spans="5:9">
      <c r="E417" s="9">
        <f t="shared" si="8"/>
        <v>20430</v>
      </c>
      <c r="F417" s="15" t="s">
        <v>383</v>
      </c>
      <c r="G417" s="35">
        <v>600</v>
      </c>
      <c r="I417" s="47"/>
    </row>
    <row r="418" spans="5:9">
      <c r="E418" s="9">
        <f t="shared" si="8"/>
        <v>20431</v>
      </c>
      <c r="F418" s="15" t="s">
        <v>384</v>
      </c>
      <c r="G418" s="35">
        <v>600</v>
      </c>
      <c r="I418" s="47"/>
    </row>
    <row r="419" spans="5:9">
      <c r="E419" s="9">
        <f t="shared" si="8"/>
        <v>20432</v>
      </c>
      <c r="F419" s="15" t="s">
        <v>385</v>
      </c>
      <c r="G419" s="35">
        <v>600</v>
      </c>
      <c r="I419" s="47"/>
    </row>
    <row r="420" spans="5:9">
      <c r="E420" s="9">
        <f t="shared" si="8"/>
        <v>20433</v>
      </c>
      <c r="F420" s="15" t="s">
        <v>386</v>
      </c>
      <c r="G420" s="35">
        <v>60</v>
      </c>
      <c r="I420" s="47"/>
    </row>
    <row r="421" spans="5:9">
      <c r="E421" s="9">
        <f t="shared" si="8"/>
        <v>20434</v>
      </c>
      <c r="F421" s="15" t="s">
        <v>387</v>
      </c>
      <c r="G421" s="35">
        <v>4</v>
      </c>
      <c r="I421" s="47"/>
    </row>
    <row r="422" spans="5:9">
      <c r="E422" s="9">
        <f t="shared" si="8"/>
        <v>20435</v>
      </c>
      <c r="F422" s="15" t="s">
        <v>388</v>
      </c>
      <c r="G422" s="35">
        <f>11*500</f>
        <v>5500</v>
      </c>
      <c r="I422" s="47"/>
    </row>
    <row r="423" spans="5:9">
      <c r="E423" s="9">
        <f t="shared" si="8"/>
        <v>20436</v>
      </c>
      <c r="F423" s="15" t="s">
        <v>389</v>
      </c>
      <c r="G423" s="35">
        <f>11*500</f>
        <v>5500</v>
      </c>
      <c r="I423" s="47"/>
    </row>
    <row r="424" spans="5:9">
      <c r="E424" s="9">
        <f t="shared" si="8"/>
        <v>20437</v>
      </c>
      <c r="F424" s="15" t="s">
        <v>390</v>
      </c>
      <c r="G424" s="35">
        <f>11*500</f>
        <v>5500</v>
      </c>
      <c r="I424" s="47"/>
    </row>
    <row r="425" spans="5:9">
      <c r="E425" s="9">
        <f t="shared" si="8"/>
        <v>20438</v>
      </c>
      <c r="F425" s="15" t="s">
        <v>391</v>
      </c>
      <c r="G425" s="35">
        <f>11*500</f>
        <v>5500</v>
      </c>
      <c r="I425" s="47"/>
    </row>
    <row r="426" spans="5:9">
      <c r="E426" s="9">
        <f t="shared" si="8"/>
        <v>20439</v>
      </c>
      <c r="F426" s="15" t="s">
        <v>392</v>
      </c>
      <c r="G426" s="35">
        <v>10</v>
      </c>
      <c r="I426" s="47"/>
    </row>
    <row r="427" spans="5:9">
      <c r="E427" s="9">
        <f t="shared" si="8"/>
        <v>20440</v>
      </c>
      <c r="F427" s="15" t="s">
        <v>393</v>
      </c>
      <c r="G427" s="35">
        <v>350</v>
      </c>
      <c r="I427" s="47"/>
    </row>
    <row r="428" spans="5:9">
      <c r="E428" s="9">
        <f t="shared" si="8"/>
        <v>20441</v>
      </c>
      <c r="F428" s="15" t="s">
        <v>394</v>
      </c>
      <c r="G428" s="35">
        <v>490</v>
      </c>
      <c r="I428" s="47"/>
    </row>
    <row r="429" spans="5:9">
      <c r="E429" s="9">
        <f t="shared" si="8"/>
        <v>20442</v>
      </c>
      <c r="F429" s="15" t="s">
        <v>395</v>
      </c>
      <c r="G429" s="35">
        <v>1100</v>
      </c>
      <c r="I429" s="47"/>
    </row>
    <row r="430" spans="5:9">
      <c r="E430" s="9">
        <f t="shared" si="8"/>
        <v>20443</v>
      </c>
      <c r="F430" s="15" t="s">
        <v>396</v>
      </c>
      <c r="G430" s="35">
        <v>1500</v>
      </c>
      <c r="I430" s="47"/>
    </row>
    <row r="431" spans="5:9">
      <c r="E431" s="9">
        <f t="shared" si="8"/>
        <v>20444</v>
      </c>
      <c r="F431" s="15" t="s">
        <v>397</v>
      </c>
      <c r="G431" s="35">
        <v>1500</v>
      </c>
      <c r="I431" s="47"/>
    </row>
    <row r="432" spans="5:9">
      <c r="E432" s="9">
        <f t="shared" si="8"/>
        <v>20445</v>
      </c>
      <c r="F432" s="15" t="s">
        <v>398</v>
      </c>
      <c r="G432" s="35">
        <v>1500</v>
      </c>
      <c r="I432" s="47"/>
    </row>
    <row r="433" spans="5:9">
      <c r="E433" s="9">
        <f t="shared" si="8"/>
        <v>20446</v>
      </c>
      <c r="F433" s="15" t="s">
        <v>399</v>
      </c>
      <c r="G433" s="35">
        <v>1500</v>
      </c>
      <c r="I433" s="47"/>
    </row>
    <row r="434" spans="5:9">
      <c r="E434" s="9">
        <f t="shared" si="8"/>
        <v>20447</v>
      </c>
      <c r="F434" s="15" t="s">
        <v>400</v>
      </c>
      <c r="G434" s="35">
        <v>1500</v>
      </c>
      <c r="I434" s="47"/>
    </row>
    <row r="435" spans="5:9">
      <c r="E435" s="9">
        <f t="shared" si="8"/>
        <v>20448</v>
      </c>
      <c r="F435" s="15" t="s">
        <v>401</v>
      </c>
      <c r="G435" s="35">
        <v>1500</v>
      </c>
      <c r="I435" s="47"/>
    </row>
    <row r="436" spans="5:9">
      <c r="E436" s="9">
        <f t="shared" si="8"/>
        <v>20449</v>
      </c>
      <c r="F436" s="15" t="s">
        <v>402</v>
      </c>
      <c r="G436" s="35">
        <v>80</v>
      </c>
      <c r="I436" s="47"/>
    </row>
    <row r="437" spans="5:9">
      <c r="E437" s="9">
        <f t="shared" si="8"/>
        <v>20450</v>
      </c>
      <c r="F437" s="15" t="s">
        <v>403</v>
      </c>
      <c r="G437" s="35">
        <v>34</v>
      </c>
      <c r="I437" s="47"/>
    </row>
    <row r="438" spans="5:9">
      <c r="E438" s="9">
        <f t="shared" si="8"/>
        <v>20451</v>
      </c>
      <c r="F438" s="15" t="s">
        <v>404</v>
      </c>
      <c r="G438" s="35">
        <v>800</v>
      </c>
      <c r="I438" s="47"/>
    </row>
    <row r="439" spans="5:9">
      <c r="E439" s="9">
        <f t="shared" si="8"/>
        <v>20452</v>
      </c>
      <c r="F439" s="15" t="s">
        <v>405</v>
      </c>
      <c r="G439" s="35">
        <v>200</v>
      </c>
      <c r="I439" s="47"/>
    </row>
    <row r="440" spans="5:9">
      <c r="E440" s="9">
        <f t="shared" si="8"/>
        <v>20453</v>
      </c>
      <c r="F440" s="15" t="s">
        <v>406</v>
      </c>
      <c r="G440" s="35">
        <v>200</v>
      </c>
      <c r="I440" s="47"/>
    </row>
    <row r="441" spans="5:9">
      <c r="E441" s="9">
        <f t="shared" si="8"/>
        <v>20454</v>
      </c>
      <c r="F441" s="15" t="s">
        <v>407</v>
      </c>
      <c r="G441" s="35">
        <v>400</v>
      </c>
      <c r="I441" s="47"/>
    </row>
    <row r="442" spans="5:9">
      <c r="E442" s="9">
        <f t="shared" si="8"/>
        <v>20455</v>
      </c>
      <c r="F442" s="15" t="s">
        <v>408</v>
      </c>
      <c r="G442" s="35">
        <v>400</v>
      </c>
      <c r="I442" s="47"/>
    </row>
    <row r="443" spans="5:9">
      <c r="E443" s="9">
        <f t="shared" si="8"/>
        <v>20456</v>
      </c>
      <c r="F443" s="15" t="s">
        <v>409</v>
      </c>
      <c r="G443" s="35">
        <v>400</v>
      </c>
      <c r="I443" s="47"/>
    </row>
    <row r="444" spans="5:9">
      <c r="E444" s="9">
        <f t="shared" si="8"/>
        <v>20457</v>
      </c>
      <c r="F444" s="15" t="s">
        <v>410</v>
      </c>
      <c r="G444" s="35">
        <v>200</v>
      </c>
      <c r="I444" s="47"/>
    </row>
    <row r="445" spans="5:9">
      <c r="E445" s="9">
        <f t="shared" si="8"/>
        <v>20458</v>
      </c>
      <c r="F445" s="15" t="s">
        <v>411</v>
      </c>
      <c r="G445" s="35">
        <v>200</v>
      </c>
      <c r="I445" s="47"/>
    </row>
    <row r="446" spans="5:9">
      <c r="E446" s="9">
        <f t="shared" si="8"/>
        <v>20459</v>
      </c>
      <c r="F446" s="15" t="s">
        <v>412</v>
      </c>
      <c r="G446" s="35">
        <v>200</v>
      </c>
      <c r="I446" s="47"/>
    </row>
    <row r="447" spans="5:9">
      <c r="E447" s="9">
        <f t="shared" si="8"/>
        <v>20460</v>
      </c>
      <c r="F447" s="15" t="s">
        <v>413</v>
      </c>
      <c r="G447" s="35">
        <v>600</v>
      </c>
      <c r="I447" s="47"/>
    </row>
    <row r="448" spans="5:9">
      <c r="E448" s="9">
        <f t="shared" si="8"/>
        <v>20461</v>
      </c>
      <c r="F448" s="15" t="s">
        <v>433</v>
      </c>
      <c r="G448" s="39">
        <v>10</v>
      </c>
    </row>
    <row r="449" spans="5:7">
      <c r="E449" s="9">
        <f t="shared" si="8"/>
        <v>20462</v>
      </c>
      <c r="F449" s="15" t="s">
        <v>486</v>
      </c>
      <c r="G449" s="35">
        <v>48</v>
      </c>
    </row>
    <row r="450" spans="5:7">
      <c r="E450" s="9">
        <f t="shared" si="8"/>
        <v>20463</v>
      </c>
      <c r="F450" s="15" t="s">
        <v>434</v>
      </c>
      <c r="G450" s="35">
        <v>500</v>
      </c>
    </row>
    <row r="451" spans="5:7">
      <c r="E451" s="9">
        <f t="shared" si="8"/>
        <v>20464</v>
      </c>
      <c r="F451" s="15" t="s">
        <v>435</v>
      </c>
      <c r="G451" s="35">
        <v>2000</v>
      </c>
    </row>
    <row r="452" spans="5:7">
      <c r="E452" s="9">
        <f t="shared" si="8"/>
        <v>20465</v>
      </c>
      <c r="F452" s="15" t="s">
        <v>436</v>
      </c>
      <c r="G452" s="35">
        <v>300</v>
      </c>
    </row>
    <row r="453" spans="5:7">
      <c r="E453" s="9">
        <f t="shared" si="8"/>
        <v>20466</v>
      </c>
      <c r="F453" s="15" t="s">
        <v>437</v>
      </c>
      <c r="G453" s="35">
        <v>300</v>
      </c>
    </row>
    <row r="454" spans="5:7">
      <c r="E454" s="9">
        <f t="shared" si="8"/>
        <v>20467</v>
      </c>
      <c r="F454" s="15" t="s">
        <v>438</v>
      </c>
      <c r="G454" s="35">
        <v>300</v>
      </c>
    </row>
    <row r="455" spans="5:7">
      <c r="E455" s="9">
        <f t="shared" si="8"/>
        <v>20468</v>
      </c>
      <c r="F455" s="15" t="s">
        <v>439</v>
      </c>
      <c r="G455" s="35">
        <v>300</v>
      </c>
    </row>
    <row r="456" spans="5:7">
      <c r="E456" s="9">
        <f t="shared" si="8"/>
        <v>20469</v>
      </c>
      <c r="F456" s="15" t="s">
        <v>440</v>
      </c>
      <c r="G456" s="35">
        <v>300</v>
      </c>
    </row>
    <row r="457" spans="5:7">
      <c r="E457" s="9">
        <f t="shared" si="8"/>
        <v>20470</v>
      </c>
      <c r="F457" s="15" t="s">
        <v>441</v>
      </c>
      <c r="G457" s="35">
        <v>300</v>
      </c>
    </row>
    <row r="458" spans="5:7">
      <c r="E458" s="9">
        <f t="shared" si="8"/>
        <v>20471</v>
      </c>
      <c r="F458" s="15" t="s">
        <v>442</v>
      </c>
      <c r="G458" s="35">
        <v>300</v>
      </c>
    </row>
    <row r="459" spans="5:7">
      <c r="E459" s="9">
        <f t="shared" si="8"/>
        <v>20472</v>
      </c>
      <c r="F459" s="15" t="s">
        <v>443</v>
      </c>
      <c r="G459" s="35">
        <v>300</v>
      </c>
    </row>
    <row r="460" spans="5:7">
      <c r="E460" s="9">
        <f t="shared" ref="E460:E517" si="9">1+E459</f>
        <v>20473</v>
      </c>
      <c r="F460" s="15" t="s">
        <v>444</v>
      </c>
      <c r="G460" s="35">
        <v>500</v>
      </c>
    </row>
    <row r="461" spans="5:7">
      <c r="E461" s="9">
        <f t="shared" si="9"/>
        <v>20474</v>
      </c>
      <c r="F461" s="15" t="s">
        <v>445</v>
      </c>
      <c r="G461" s="35">
        <v>500</v>
      </c>
    </row>
    <row r="462" spans="5:7">
      <c r="E462" s="9">
        <f t="shared" si="9"/>
        <v>20475</v>
      </c>
      <c r="F462" s="15" t="s">
        <v>446</v>
      </c>
      <c r="G462" s="35">
        <v>500</v>
      </c>
    </row>
    <row r="463" spans="5:7">
      <c r="E463" s="9">
        <f t="shared" si="9"/>
        <v>20476</v>
      </c>
      <c r="F463" s="15" t="s">
        <v>447</v>
      </c>
      <c r="G463" s="35">
        <v>500</v>
      </c>
    </row>
    <row r="464" spans="5:7">
      <c r="E464" s="9">
        <f t="shared" si="9"/>
        <v>20477</v>
      </c>
      <c r="F464" s="15" t="s">
        <v>448</v>
      </c>
      <c r="G464" s="35">
        <v>500</v>
      </c>
    </row>
    <row r="465" spans="5:8">
      <c r="E465" s="9">
        <f t="shared" si="9"/>
        <v>20478</v>
      </c>
      <c r="F465" s="15" t="s">
        <v>449</v>
      </c>
      <c r="G465" s="35">
        <v>500</v>
      </c>
    </row>
    <row r="466" spans="5:8">
      <c r="E466" s="9">
        <f t="shared" si="9"/>
        <v>20479</v>
      </c>
      <c r="F466" s="23" t="s">
        <v>450</v>
      </c>
      <c r="G466" s="42"/>
      <c r="H466" s="52"/>
    </row>
    <row r="467" spans="5:8">
      <c r="E467" s="9">
        <f t="shared" si="9"/>
        <v>20480</v>
      </c>
      <c r="F467" s="23" t="s">
        <v>452</v>
      </c>
      <c r="G467" s="42"/>
      <c r="H467" s="52"/>
    </row>
    <row r="468" spans="5:8">
      <c r="E468" s="9" t="e">
        <f>1+#REF!</f>
        <v>#REF!</v>
      </c>
      <c r="F468" s="29" t="s">
        <v>453</v>
      </c>
      <c r="G468" s="4">
        <v>1200</v>
      </c>
      <c r="H468"/>
    </row>
    <row r="469" spans="5:8">
      <c r="E469" s="9" t="e">
        <f t="shared" si="9"/>
        <v>#REF!</v>
      </c>
      <c r="F469" s="29" t="s">
        <v>487</v>
      </c>
      <c r="G469" s="4">
        <v>600</v>
      </c>
      <c r="H469"/>
    </row>
    <row r="470" spans="5:8">
      <c r="E470" s="9" t="e">
        <f t="shared" si="9"/>
        <v>#REF!</v>
      </c>
      <c r="F470" s="29" t="s">
        <v>488</v>
      </c>
      <c r="G470" s="4">
        <v>480</v>
      </c>
      <c r="H470"/>
    </row>
    <row r="471" spans="5:8">
      <c r="E471" s="9" t="e">
        <f t="shared" si="9"/>
        <v>#REF!</v>
      </c>
      <c r="F471" s="29" t="s">
        <v>507</v>
      </c>
      <c r="G471" s="4">
        <v>600</v>
      </c>
      <c r="H471"/>
    </row>
    <row r="472" spans="5:8">
      <c r="E472" s="9" t="e">
        <f t="shared" si="9"/>
        <v>#REF!</v>
      </c>
      <c r="F472" s="29" t="s">
        <v>489</v>
      </c>
      <c r="G472" s="4">
        <v>600</v>
      </c>
      <c r="H472"/>
    </row>
    <row r="473" spans="5:8">
      <c r="E473" s="9" t="e">
        <f t="shared" si="9"/>
        <v>#REF!</v>
      </c>
      <c r="F473" s="29" t="s">
        <v>490</v>
      </c>
      <c r="G473" s="4">
        <v>600</v>
      </c>
      <c r="H473"/>
    </row>
    <row r="474" spans="5:8">
      <c r="E474" s="9" t="e">
        <f t="shared" si="9"/>
        <v>#REF!</v>
      </c>
      <c r="F474" s="29" t="s">
        <v>491</v>
      </c>
      <c r="G474" s="4">
        <v>732</v>
      </c>
      <c r="H474"/>
    </row>
    <row r="475" spans="5:8">
      <c r="E475" s="9" t="e">
        <f t="shared" si="9"/>
        <v>#REF!</v>
      </c>
      <c r="F475" s="29" t="s">
        <v>492</v>
      </c>
      <c r="G475" s="4">
        <v>1260</v>
      </c>
      <c r="H475"/>
    </row>
    <row r="476" spans="5:8" ht="102" customHeight="1">
      <c r="E476" s="9" t="e">
        <f t="shared" si="9"/>
        <v>#REF!</v>
      </c>
      <c r="F476" s="24" t="s">
        <v>454</v>
      </c>
      <c r="G476" s="4">
        <v>50</v>
      </c>
      <c r="H476"/>
    </row>
    <row r="477" spans="5:8" ht="86.25" customHeight="1">
      <c r="E477" s="9" t="e">
        <f t="shared" si="9"/>
        <v>#REF!</v>
      </c>
      <c r="F477" s="24" t="s">
        <v>455</v>
      </c>
      <c r="G477" s="4">
        <v>100</v>
      </c>
      <c r="H477"/>
    </row>
    <row r="478" spans="5:8">
      <c r="E478" s="9" t="e">
        <f t="shared" si="9"/>
        <v>#REF!</v>
      </c>
      <c r="F478" s="24" t="s">
        <v>456</v>
      </c>
      <c r="G478" s="5">
        <v>500</v>
      </c>
    </row>
    <row r="479" spans="5:8">
      <c r="E479" s="9" t="e">
        <f t="shared" si="9"/>
        <v>#REF!</v>
      </c>
      <c r="F479" s="24" t="s">
        <v>457</v>
      </c>
      <c r="G479" s="5">
        <v>2500</v>
      </c>
    </row>
    <row r="480" spans="5:8">
      <c r="E480" s="9" t="e">
        <f t="shared" si="9"/>
        <v>#REF!</v>
      </c>
      <c r="F480" s="24" t="s">
        <v>458</v>
      </c>
      <c r="G480" s="5">
        <v>4</v>
      </c>
    </row>
    <row r="481" spans="5:7" ht="66" customHeight="1">
      <c r="E481" s="9" t="e">
        <f t="shared" si="9"/>
        <v>#REF!</v>
      </c>
      <c r="F481" s="24" t="s">
        <v>493</v>
      </c>
      <c r="G481" s="5">
        <v>100</v>
      </c>
    </row>
    <row r="482" spans="5:7" ht="57.75" customHeight="1">
      <c r="E482" s="9" t="e">
        <f t="shared" si="9"/>
        <v>#REF!</v>
      </c>
      <c r="F482" s="24" t="s">
        <v>494</v>
      </c>
      <c r="G482" s="5">
        <v>100</v>
      </c>
    </row>
    <row r="483" spans="5:7" ht="86.25" customHeight="1">
      <c r="E483" s="9" t="e">
        <f t="shared" si="9"/>
        <v>#REF!</v>
      </c>
      <c r="F483" s="24" t="s">
        <v>495</v>
      </c>
      <c r="G483" s="5">
        <v>100</v>
      </c>
    </row>
    <row r="484" spans="5:7" ht="51" customHeight="1">
      <c r="E484" s="9" t="e">
        <f t="shared" si="9"/>
        <v>#REF!</v>
      </c>
      <c r="F484" s="24" t="s">
        <v>459</v>
      </c>
      <c r="G484" s="5">
        <v>504</v>
      </c>
    </row>
    <row r="485" spans="5:7">
      <c r="E485" s="9" t="e">
        <f t="shared" si="9"/>
        <v>#REF!</v>
      </c>
      <c r="F485" s="24" t="s">
        <v>460</v>
      </c>
      <c r="G485" s="5">
        <v>216</v>
      </c>
    </row>
    <row r="486" spans="5:7">
      <c r="E486" s="9" t="e">
        <f t="shared" si="9"/>
        <v>#REF!</v>
      </c>
      <c r="F486" s="24" t="s">
        <v>461</v>
      </c>
      <c r="G486" s="5">
        <v>1000</v>
      </c>
    </row>
    <row r="487" spans="5:7">
      <c r="E487" s="9" t="e">
        <f t="shared" si="9"/>
        <v>#REF!</v>
      </c>
      <c r="F487" s="24" t="s">
        <v>462</v>
      </c>
      <c r="G487" s="5">
        <v>5000</v>
      </c>
    </row>
    <row r="488" spans="5:7">
      <c r="E488" s="9" t="e">
        <f t="shared" si="9"/>
        <v>#REF!</v>
      </c>
      <c r="F488" s="24" t="s">
        <v>463</v>
      </c>
      <c r="G488" s="5">
        <v>300</v>
      </c>
    </row>
    <row r="489" spans="5:7">
      <c r="E489" s="9" t="e">
        <f t="shared" si="9"/>
        <v>#REF!</v>
      </c>
      <c r="F489" s="24" t="s">
        <v>496</v>
      </c>
      <c r="G489" s="5">
        <v>480</v>
      </c>
    </row>
    <row r="490" spans="5:7">
      <c r="E490" s="9" t="e">
        <f t="shared" si="9"/>
        <v>#REF!</v>
      </c>
      <c r="F490" s="24" t="s">
        <v>497</v>
      </c>
      <c r="G490" s="5">
        <v>300</v>
      </c>
    </row>
    <row r="491" spans="5:7">
      <c r="E491" s="9" t="e">
        <f t="shared" si="9"/>
        <v>#REF!</v>
      </c>
      <c r="F491" s="24" t="s">
        <v>498</v>
      </c>
      <c r="G491" s="5">
        <v>500</v>
      </c>
    </row>
    <row r="492" spans="5:7">
      <c r="E492" s="9" t="e">
        <f t="shared" si="9"/>
        <v>#REF!</v>
      </c>
      <c r="F492" s="24" t="s">
        <v>499</v>
      </c>
      <c r="G492" s="5">
        <v>500</v>
      </c>
    </row>
    <row r="493" spans="5:7" ht="176.25" customHeight="1">
      <c r="E493" s="9" t="e">
        <f t="shared" si="9"/>
        <v>#REF!</v>
      </c>
      <c r="F493" s="25" t="s">
        <v>464</v>
      </c>
      <c r="G493" s="5">
        <v>300</v>
      </c>
    </row>
    <row r="494" spans="5:7">
      <c r="E494" s="9" t="e">
        <f t="shared" si="9"/>
        <v>#REF!</v>
      </c>
      <c r="F494" s="24" t="s">
        <v>500</v>
      </c>
      <c r="G494" s="5">
        <v>500</v>
      </c>
    </row>
    <row r="495" spans="5:7">
      <c r="E495" s="9" t="e">
        <f t="shared" si="9"/>
        <v>#REF!</v>
      </c>
      <c r="F495" s="24" t="s">
        <v>465</v>
      </c>
      <c r="G495" s="5">
        <v>30</v>
      </c>
    </row>
    <row r="496" spans="5:7" ht="87" customHeight="1">
      <c r="E496" s="9" t="e">
        <f t="shared" si="9"/>
        <v>#REF!</v>
      </c>
      <c r="F496" s="24" t="s">
        <v>501</v>
      </c>
      <c r="G496" s="5">
        <v>300</v>
      </c>
    </row>
    <row r="497" spans="5:7" ht="78.75" customHeight="1">
      <c r="E497" s="9" t="e">
        <f t="shared" si="9"/>
        <v>#REF!</v>
      </c>
      <c r="F497" s="24" t="s">
        <v>466</v>
      </c>
      <c r="G497" s="5">
        <v>2</v>
      </c>
    </row>
    <row r="498" spans="5:7">
      <c r="E498" s="9" t="e">
        <f t="shared" si="9"/>
        <v>#REF!</v>
      </c>
      <c r="F498" s="24" t="s">
        <v>467</v>
      </c>
      <c r="G498" s="5">
        <v>500</v>
      </c>
    </row>
    <row r="499" spans="5:7">
      <c r="E499" s="9" t="e">
        <f t="shared" si="9"/>
        <v>#REF!</v>
      </c>
      <c r="F499" s="26" t="s">
        <v>468</v>
      </c>
      <c r="G499" s="5">
        <v>100</v>
      </c>
    </row>
    <row r="500" spans="5:7">
      <c r="E500" s="9" t="e">
        <f t="shared" si="9"/>
        <v>#REF!</v>
      </c>
      <c r="F500" s="24" t="s">
        <v>502</v>
      </c>
      <c r="G500" s="5">
        <v>200</v>
      </c>
    </row>
    <row r="501" spans="5:7">
      <c r="E501" s="9" t="e">
        <f t="shared" si="9"/>
        <v>#REF!</v>
      </c>
      <c r="F501" s="24" t="s">
        <v>469</v>
      </c>
      <c r="G501" s="5">
        <v>100</v>
      </c>
    </row>
    <row r="502" spans="5:7" ht="72" customHeight="1">
      <c r="E502" s="9" t="e">
        <f t="shared" si="9"/>
        <v>#REF!</v>
      </c>
      <c r="F502" s="24" t="s">
        <v>470</v>
      </c>
      <c r="G502" s="5">
        <v>500</v>
      </c>
    </row>
    <row r="503" spans="5:7">
      <c r="E503" s="9" t="e">
        <f t="shared" si="9"/>
        <v>#REF!</v>
      </c>
      <c r="F503" s="24" t="s">
        <v>471</v>
      </c>
      <c r="G503" s="5">
        <v>3000</v>
      </c>
    </row>
    <row r="504" spans="5:7">
      <c r="E504" s="9" t="e">
        <f t="shared" si="9"/>
        <v>#REF!</v>
      </c>
      <c r="F504" s="24" t="s">
        <v>472</v>
      </c>
      <c r="G504" s="5">
        <v>300</v>
      </c>
    </row>
    <row r="505" spans="5:7">
      <c r="E505" s="9" t="e">
        <f t="shared" si="9"/>
        <v>#REF!</v>
      </c>
      <c r="F505" s="24" t="s">
        <v>473</v>
      </c>
      <c r="G505" s="5">
        <v>300</v>
      </c>
    </row>
    <row r="506" spans="5:7">
      <c r="E506" s="9" t="e">
        <f t="shared" si="9"/>
        <v>#REF!</v>
      </c>
      <c r="F506" s="24" t="s">
        <v>474</v>
      </c>
      <c r="G506" s="5">
        <v>300</v>
      </c>
    </row>
    <row r="507" spans="5:7" ht="93" customHeight="1">
      <c r="E507" s="9" t="e">
        <f t="shared" si="9"/>
        <v>#REF!</v>
      </c>
      <c r="F507" s="24" t="s">
        <v>475</v>
      </c>
      <c r="G507" s="5">
        <v>32</v>
      </c>
    </row>
    <row r="508" spans="5:7" ht="114.75" customHeight="1">
      <c r="E508" s="9" t="e">
        <f t="shared" si="9"/>
        <v>#REF!</v>
      </c>
      <c r="F508" s="24" t="s">
        <v>476</v>
      </c>
      <c r="G508" s="5">
        <v>1000</v>
      </c>
    </row>
    <row r="509" spans="5:7">
      <c r="E509" s="9" t="e">
        <f t="shared" si="9"/>
        <v>#REF!</v>
      </c>
      <c r="F509" s="24" t="s">
        <v>477</v>
      </c>
      <c r="G509" s="5">
        <v>2000</v>
      </c>
    </row>
    <row r="510" spans="5:7">
      <c r="E510" s="9" t="e">
        <f t="shared" si="9"/>
        <v>#REF!</v>
      </c>
      <c r="F510" s="24" t="s">
        <v>478</v>
      </c>
      <c r="G510" s="5">
        <v>6000</v>
      </c>
    </row>
    <row r="511" spans="5:7">
      <c r="E511" s="9" t="e">
        <f t="shared" si="9"/>
        <v>#REF!</v>
      </c>
      <c r="F511" s="24" t="s">
        <v>478</v>
      </c>
      <c r="G511" s="5">
        <v>64000</v>
      </c>
    </row>
    <row r="512" spans="5:7">
      <c r="E512" s="9" t="e">
        <f t="shared" si="9"/>
        <v>#REF!</v>
      </c>
      <c r="F512" s="25"/>
      <c r="G512" s="5"/>
    </row>
    <row r="513" spans="5:7">
      <c r="E513" s="9" t="e">
        <f t="shared" si="9"/>
        <v>#REF!</v>
      </c>
      <c r="F513" s="25"/>
      <c r="G513" s="5"/>
    </row>
    <row r="514" spans="5:7">
      <c r="E514" s="9" t="e">
        <f t="shared" si="9"/>
        <v>#REF!</v>
      </c>
      <c r="F514" s="25"/>
      <c r="G514" s="5"/>
    </row>
    <row r="515" spans="5:7">
      <c r="E515" s="9" t="e">
        <f t="shared" si="9"/>
        <v>#REF!</v>
      </c>
      <c r="F515" s="25"/>
      <c r="G515" s="5"/>
    </row>
    <row r="516" spans="5:7">
      <c r="E516" s="9" t="e">
        <f t="shared" si="9"/>
        <v>#REF!</v>
      </c>
      <c r="F516" s="25"/>
      <c r="G516" s="5"/>
    </row>
    <row r="517" spans="5:7">
      <c r="E517" s="9" t="e">
        <f t="shared" si="9"/>
        <v>#REF!</v>
      </c>
      <c r="F517" s="24"/>
      <c r="G517" s="5"/>
    </row>
    <row r="518" spans="5:7">
      <c r="E518" s="9"/>
    </row>
    <row r="519" spans="5:7">
      <c r="E519" s="9"/>
    </row>
    <row r="520" spans="5:7">
      <c r="E520" s="9"/>
    </row>
    <row r="521" spans="5:7">
      <c r="E521" s="9"/>
    </row>
    <row r="522" spans="5:7">
      <c r="E522" s="9"/>
    </row>
    <row r="523" spans="5:7">
      <c r="E523" s="9"/>
    </row>
    <row r="524" spans="5:7">
      <c r="E524" s="9"/>
    </row>
    <row r="525" spans="5:7">
      <c r="E525" s="9"/>
    </row>
    <row r="526" spans="5:7">
      <c r="E526" s="9"/>
    </row>
    <row r="527" spans="5:7">
      <c r="E527" s="9"/>
    </row>
    <row r="528" spans="5:7">
      <c r="E528" s="9"/>
    </row>
    <row r="529" spans="5:5">
      <c r="E529" s="9"/>
    </row>
    <row r="530" spans="5:5">
      <c r="E530" s="9"/>
    </row>
    <row r="531" spans="5:5">
      <c r="E531" s="9"/>
    </row>
    <row r="532" spans="5:5">
      <c r="E532" s="9"/>
    </row>
    <row r="533" spans="5:5">
      <c r="E533" s="9"/>
    </row>
    <row r="534" spans="5:5">
      <c r="E534" s="9"/>
    </row>
    <row r="535" spans="5:5">
      <c r="E535" s="9"/>
    </row>
    <row r="536" spans="5:5">
      <c r="E536" s="9"/>
    </row>
    <row r="537" spans="5:5">
      <c r="E537" s="9"/>
    </row>
    <row r="538" spans="5:5">
      <c r="E538" s="9"/>
    </row>
    <row r="539" spans="5:5">
      <c r="E539" s="9"/>
    </row>
    <row r="540" spans="5:5">
      <c r="E540" s="9"/>
    </row>
    <row r="541" spans="5:5">
      <c r="E541" s="9"/>
    </row>
    <row r="542" spans="5:5">
      <c r="E542" s="9"/>
    </row>
    <row r="543" spans="5:5">
      <c r="E543" s="9"/>
    </row>
    <row r="544" spans="5:5">
      <c r="E544" s="9"/>
    </row>
    <row r="545" spans="5:5">
      <c r="E545" s="9"/>
    </row>
    <row r="546" spans="5:5">
      <c r="E546" s="9"/>
    </row>
    <row r="547" spans="5:5">
      <c r="E547" s="9"/>
    </row>
    <row r="548" spans="5:5">
      <c r="E548" s="9"/>
    </row>
    <row r="549" spans="5:5">
      <c r="E549" s="9"/>
    </row>
    <row r="550" spans="5:5">
      <c r="E550" s="9"/>
    </row>
    <row r="551" spans="5:5">
      <c r="E551" s="9"/>
    </row>
    <row r="552" spans="5:5">
      <c r="E552" s="9"/>
    </row>
    <row r="553" spans="5:5">
      <c r="E553" s="9"/>
    </row>
    <row r="554" spans="5:5">
      <c r="E554" s="9"/>
    </row>
    <row r="555" spans="5:5">
      <c r="E555" s="9"/>
    </row>
    <row r="556" spans="5:5">
      <c r="E556" s="9"/>
    </row>
    <row r="557" spans="5:5">
      <c r="E557" s="9"/>
    </row>
    <row r="558" spans="5:5">
      <c r="E558" s="9"/>
    </row>
    <row r="559" spans="5:5">
      <c r="E559" s="9"/>
    </row>
    <row r="560" spans="5:5">
      <c r="E560" s="9"/>
    </row>
    <row r="561" spans="5:5">
      <c r="E561" s="9"/>
    </row>
    <row r="562" spans="5:5">
      <c r="E562" s="9"/>
    </row>
    <row r="563" spans="5:5">
      <c r="E563" s="9"/>
    </row>
    <row r="564" spans="5:5">
      <c r="E564" s="9"/>
    </row>
    <row r="565" spans="5:5">
      <c r="E565" s="9"/>
    </row>
    <row r="566" spans="5:5">
      <c r="E566" s="9"/>
    </row>
    <row r="567" spans="5:5">
      <c r="E567" s="9"/>
    </row>
    <row r="568" spans="5:5">
      <c r="E568" s="9"/>
    </row>
    <row r="569" spans="5:5">
      <c r="E569" s="9"/>
    </row>
    <row r="570" spans="5:5">
      <c r="E570" s="9"/>
    </row>
    <row r="571" spans="5:5">
      <c r="E571" s="9"/>
    </row>
    <row r="572" spans="5:5">
      <c r="E572" s="9"/>
    </row>
    <row r="573" spans="5:5">
      <c r="E573" s="9"/>
    </row>
    <row r="574" spans="5:5">
      <c r="E574" s="9"/>
    </row>
    <row r="575" spans="5:5">
      <c r="E575" s="9"/>
    </row>
    <row r="576" spans="5:5">
      <c r="E576" s="9"/>
    </row>
    <row r="577" spans="5:5">
      <c r="E577" s="9"/>
    </row>
    <row r="578" spans="5:5">
      <c r="E578" s="9"/>
    </row>
    <row r="579" spans="5:5">
      <c r="E579" s="9"/>
    </row>
    <row r="580" spans="5:5">
      <c r="E580" s="9"/>
    </row>
    <row r="581" spans="5:5">
      <c r="E581" s="9"/>
    </row>
    <row r="582" spans="5:5">
      <c r="E582" s="9"/>
    </row>
    <row r="583" spans="5:5">
      <c r="E583" s="9"/>
    </row>
    <row r="584" spans="5:5">
      <c r="E584" s="9"/>
    </row>
    <row r="585" spans="5:5">
      <c r="E585" s="9"/>
    </row>
    <row r="586" spans="5:5">
      <c r="E586" s="9"/>
    </row>
    <row r="587" spans="5:5">
      <c r="E587" s="9"/>
    </row>
    <row r="588" spans="5:5">
      <c r="E588" s="9"/>
    </row>
    <row r="589" spans="5:5">
      <c r="E589" s="9"/>
    </row>
    <row r="590" spans="5:5">
      <c r="E590" s="9"/>
    </row>
    <row r="591" spans="5:5">
      <c r="E591" s="9"/>
    </row>
    <row r="592" spans="5:5">
      <c r="E592" s="9"/>
    </row>
    <row r="593" spans="5:5">
      <c r="E593" s="9"/>
    </row>
    <row r="594" spans="5:5">
      <c r="E594" s="9"/>
    </row>
    <row r="595" spans="5:5">
      <c r="E595" s="9"/>
    </row>
    <row r="596" spans="5:5">
      <c r="E596" s="9"/>
    </row>
    <row r="597" spans="5:5">
      <c r="E597" s="9"/>
    </row>
    <row r="598" spans="5:5">
      <c r="E598" s="9"/>
    </row>
    <row r="599" spans="5:5">
      <c r="E599" s="9"/>
    </row>
    <row r="600" spans="5:5">
      <c r="E600" s="9"/>
    </row>
    <row r="601" spans="5:5">
      <c r="E601" s="9"/>
    </row>
    <row r="602" spans="5:5">
      <c r="E602" s="9"/>
    </row>
    <row r="603" spans="5:5">
      <c r="E603" s="9"/>
    </row>
    <row r="604" spans="5:5">
      <c r="E604" s="9"/>
    </row>
    <row r="605" spans="5:5">
      <c r="E605" s="9"/>
    </row>
    <row r="606" spans="5:5">
      <c r="E606" s="9"/>
    </row>
    <row r="607" spans="5:5">
      <c r="E607" s="9"/>
    </row>
    <row r="608" spans="5:5">
      <c r="E608" s="9"/>
    </row>
    <row r="609" spans="5:5">
      <c r="E609" s="9"/>
    </row>
    <row r="610" spans="5:5">
      <c r="E610" s="9"/>
    </row>
    <row r="611" spans="5:5">
      <c r="E611" s="9"/>
    </row>
    <row r="612" spans="5:5">
      <c r="E612" s="9"/>
    </row>
    <row r="613" spans="5:5">
      <c r="E613" s="9"/>
    </row>
    <row r="614" spans="5:5">
      <c r="E614" s="9"/>
    </row>
    <row r="615" spans="5:5">
      <c r="E615" s="9"/>
    </row>
    <row r="616" spans="5:5">
      <c r="E616" s="9"/>
    </row>
    <row r="617" spans="5:5">
      <c r="E617" s="9"/>
    </row>
    <row r="618" spans="5:5">
      <c r="E618" s="9"/>
    </row>
    <row r="619" spans="5:5">
      <c r="E619" s="9"/>
    </row>
    <row r="620" spans="5:5">
      <c r="E620" s="9"/>
    </row>
    <row r="621" spans="5:5">
      <c r="E621" s="9"/>
    </row>
    <row r="622" spans="5:5">
      <c r="E622" s="9"/>
    </row>
    <row r="623" spans="5:5">
      <c r="E623" s="9"/>
    </row>
    <row r="624" spans="5:5">
      <c r="E624" s="9"/>
    </row>
    <row r="625" spans="5:5">
      <c r="E625" s="9"/>
    </row>
    <row r="626" spans="5:5">
      <c r="E626" s="9"/>
    </row>
    <row r="627" spans="5:5">
      <c r="E627" s="9"/>
    </row>
    <row r="628" spans="5:5">
      <c r="E628" s="9"/>
    </row>
    <row r="629" spans="5:5">
      <c r="E629" s="9"/>
    </row>
    <row r="630" spans="5:5">
      <c r="E630" s="9"/>
    </row>
    <row r="631" spans="5:5">
      <c r="E631" s="9"/>
    </row>
    <row r="632" spans="5:5">
      <c r="E632" s="9"/>
    </row>
    <row r="633" spans="5:5">
      <c r="E633" s="9"/>
    </row>
    <row r="634" spans="5:5">
      <c r="E634" s="9"/>
    </row>
    <row r="635" spans="5:5">
      <c r="E635" s="9"/>
    </row>
    <row r="636" spans="5:5">
      <c r="E636" s="9"/>
    </row>
    <row r="637" spans="5:5">
      <c r="E637" s="9"/>
    </row>
    <row r="638" spans="5:5">
      <c r="E638" s="9"/>
    </row>
    <row r="639" spans="5:5">
      <c r="E639" s="9"/>
    </row>
    <row r="640" spans="5:5">
      <c r="E640" s="9"/>
    </row>
    <row r="641" spans="5:5">
      <c r="E641" s="9"/>
    </row>
    <row r="642" spans="5:5">
      <c r="E642" s="9"/>
    </row>
    <row r="643" spans="5:5">
      <c r="E643" s="9"/>
    </row>
    <row r="644" spans="5:5">
      <c r="E644" s="9"/>
    </row>
    <row r="645" spans="5:5">
      <c r="E645" s="9"/>
    </row>
    <row r="646" spans="5:5">
      <c r="E646" s="9"/>
    </row>
    <row r="647" spans="5:5">
      <c r="E647" s="9"/>
    </row>
    <row r="648" spans="5:5">
      <c r="E648" s="9"/>
    </row>
    <row r="649" spans="5:5">
      <c r="E649" s="9"/>
    </row>
    <row r="650" spans="5:5">
      <c r="E650" s="9"/>
    </row>
    <row r="651" spans="5:5">
      <c r="E651" s="9"/>
    </row>
    <row r="652" spans="5:5">
      <c r="E652" s="9"/>
    </row>
    <row r="653" spans="5:5">
      <c r="E653" s="9"/>
    </row>
    <row r="654" spans="5:5">
      <c r="E654" s="9"/>
    </row>
    <row r="655" spans="5:5">
      <c r="E655" s="9"/>
    </row>
    <row r="656" spans="5:5">
      <c r="E656" s="9"/>
    </row>
    <row r="657" spans="5:5">
      <c r="E657" s="9"/>
    </row>
    <row r="658" spans="5:5">
      <c r="E658" s="9"/>
    </row>
    <row r="659" spans="5:5">
      <c r="E659" s="9"/>
    </row>
    <row r="660" spans="5:5">
      <c r="E660" s="9"/>
    </row>
    <row r="661" spans="5:5">
      <c r="E661" s="9"/>
    </row>
    <row r="662" spans="5:5">
      <c r="E662" s="9"/>
    </row>
    <row r="663" spans="5:5">
      <c r="E663" s="9"/>
    </row>
    <row r="664" spans="5:5">
      <c r="E664" s="9"/>
    </row>
    <row r="665" spans="5:5">
      <c r="E665" s="9"/>
    </row>
    <row r="666" spans="5:5">
      <c r="E666" s="9"/>
    </row>
    <row r="667" spans="5:5">
      <c r="E667" s="9"/>
    </row>
    <row r="668" spans="5:5">
      <c r="E668" s="9"/>
    </row>
    <row r="669" spans="5:5">
      <c r="E669" s="9"/>
    </row>
    <row r="670" spans="5:5">
      <c r="E670" s="9"/>
    </row>
    <row r="671" spans="5:5">
      <c r="E671" s="9"/>
    </row>
    <row r="672" spans="5:5">
      <c r="E672" s="9"/>
    </row>
    <row r="673" spans="5:5">
      <c r="E673" s="9"/>
    </row>
    <row r="674" spans="5:5">
      <c r="E674" s="9"/>
    </row>
    <row r="675" spans="5:5">
      <c r="E675" s="9"/>
    </row>
    <row r="676" spans="5:5">
      <c r="E676" s="9"/>
    </row>
    <row r="677" spans="5:5">
      <c r="E677" s="9"/>
    </row>
    <row r="678" spans="5:5">
      <c r="E678" s="9"/>
    </row>
    <row r="679" spans="5:5">
      <c r="E679" s="9"/>
    </row>
    <row r="680" spans="5:5">
      <c r="E680" s="9"/>
    </row>
    <row r="681" spans="5:5">
      <c r="E681" s="9"/>
    </row>
    <row r="682" spans="5:5">
      <c r="E682" s="9"/>
    </row>
    <row r="683" spans="5:5">
      <c r="E683" s="9"/>
    </row>
    <row r="684" spans="5:5">
      <c r="E684" s="9"/>
    </row>
    <row r="685" spans="5:5">
      <c r="E685" s="9"/>
    </row>
    <row r="686" spans="5:5">
      <c r="E686" s="9"/>
    </row>
    <row r="687" spans="5:5">
      <c r="E687" s="9"/>
    </row>
    <row r="688" spans="5:5">
      <c r="E688" s="9"/>
    </row>
    <row r="689" spans="5:5">
      <c r="E689" s="9"/>
    </row>
    <row r="690" spans="5:5">
      <c r="E690" s="9"/>
    </row>
    <row r="691" spans="5:5">
      <c r="E691" s="9"/>
    </row>
    <row r="692" spans="5:5">
      <c r="E692" s="9"/>
    </row>
    <row r="693" spans="5:5">
      <c r="E693" s="9"/>
    </row>
    <row r="694" spans="5:5">
      <c r="E694" s="9"/>
    </row>
    <row r="695" spans="5:5">
      <c r="E695" s="9"/>
    </row>
    <row r="696" spans="5:5">
      <c r="E696" s="9"/>
    </row>
    <row r="697" spans="5:5">
      <c r="E697" s="9"/>
    </row>
    <row r="698" spans="5:5">
      <c r="E698" s="9"/>
    </row>
    <row r="699" spans="5:5">
      <c r="E699" s="9"/>
    </row>
    <row r="700" spans="5:5">
      <c r="E700" s="9"/>
    </row>
    <row r="701" spans="5:5">
      <c r="E701" s="9"/>
    </row>
    <row r="702" spans="5:5">
      <c r="E702" s="9"/>
    </row>
    <row r="703" spans="5:5">
      <c r="E703" s="9"/>
    </row>
    <row r="704" spans="5:5">
      <c r="E704" s="9"/>
    </row>
    <row r="705" spans="5:5">
      <c r="E705" s="9"/>
    </row>
    <row r="706" spans="5:5">
      <c r="E706" s="9"/>
    </row>
    <row r="707" spans="5:5">
      <c r="E707" s="9"/>
    </row>
    <row r="708" spans="5:5">
      <c r="E708" s="9"/>
    </row>
    <row r="709" spans="5:5">
      <c r="E709" s="9"/>
    </row>
    <row r="710" spans="5:5">
      <c r="E710" s="9"/>
    </row>
    <row r="711" spans="5:5">
      <c r="E711" s="9"/>
    </row>
    <row r="712" spans="5:5">
      <c r="E712" s="9"/>
    </row>
    <row r="713" spans="5:5">
      <c r="E713" s="9"/>
    </row>
    <row r="714" spans="5:5">
      <c r="E714" s="9"/>
    </row>
    <row r="715" spans="5:5">
      <c r="E715" s="9"/>
    </row>
    <row r="716" spans="5:5">
      <c r="E716" s="9"/>
    </row>
    <row r="717" spans="5:5">
      <c r="E717" s="9"/>
    </row>
    <row r="718" spans="5:5">
      <c r="E718" s="9"/>
    </row>
    <row r="719" spans="5:5">
      <c r="E719" s="9"/>
    </row>
    <row r="720" spans="5:5">
      <c r="E720" s="9"/>
    </row>
    <row r="721" spans="5:5">
      <c r="E721" s="9"/>
    </row>
    <row r="722" spans="5:5">
      <c r="E722" s="9"/>
    </row>
    <row r="723" spans="5:5">
      <c r="E723" s="9"/>
    </row>
    <row r="724" spans="5:5">
      <c r="E724" s="9"/>
    </row>
    <row r="725" spans="5:5">
      <c r="E725" s="9"/>
    </row>
    <row r="726" spans="5:5">
      <c r="E726" s="9"/>
    </row>
    <row r="727" spans="5:5">
      <c r="E727" s="9"/>
    </row>
    <row r="728" spans="5:5">
      <c r="E728" s="9"/>
    </row>
    <row r="729" spans="5:5">
      <c r="E729" s="9"/>
    </row>
    <row r="730" spans="5:5">
      <c r="E730" s="9"/>
    </row>
    <row r="731" spans="5:5">
      <c r="E731" s="9"/>
    </row>
    <row r="732" spans="5:5">
      <c r="E732" s="9"/>
    </row>
    <row r="733" spans="5:5">
      <c r="E733" s="9"/>
    </row>
    <row r="734" spans="5:5">
      <c r="E734" s="9"/>
    </row>
    <row r="735" spans="5:5">
      <c r="E735" s="9"/>
    </row>
    <row r="736" spans="5:5">
      <c r="E736" s="9"/>
    </row>
    <row r="737" spans="5:5">
      <c r="E737" s="9"/>
    </row>
    <row r="738" spans="5:5">
      <c r="E738" s="9"/>
    </row>
    <row r="739" spans="5:5">
      <c r="E739" s="9"/>
    </row>
    <row r="740" spans="5:5">
      <c r="E740" s="9"/>
    </row>
    <row r="741" spans="5:5">
      <c r="E741" s="9"/>
    </row>
    <row r="742" spans="5:5">
      <c r="E742" s="9"/>
    </row>
    <row r="743" spans="5:5">
      <c r="E743" s="9"/>
    </row>
    <row r="744" spans="5:5">
      <c r="E744" s="9"/>
    </row>
    <row r="745" spans="5:5">
      <c r="E745" s="9"/>
    </row>
    <row r="746" spans="5:5">
      <c r="E746" s="9"/>
    </row>
    <row r="747" spans="5:5">
      <c r="E747" s="9"/>
    </row>
    <row r="748" spans="5:5">
      <c r="E748" s="9"/>
    </row>
    <row r="749" spans="5:5">
      <c r="E749" s="9"/>
    </row>
    <row r="750" spans="5:5">
      <c r="E750" s="9"/>
    </row>
    <row r="751" spans="5:5">
      <c r="E751" s="9"/>
    </row>
    <row r="752" spans="5:5">
      <c r="E752" s="9"/>
    </row>
    <row r="753" spans="5:5">
      <c r="E753" s="9"/>
    </row>
    <row r="754" spans="5:5">
      <c r="E754" s="9"/>
    </row>
    <row r="755" spans="5:5">
      <c r="E755" s="9"/>
    </row>
    <row r="756" spans="5:5">
      <c r="E756" s="9"/>
    </row>
    <row r="757" spans="5:5">
      <c r="E757" s="9"/>
    </row>
    <row r="758" spans="5:5">
      <c r="E758" s="9"/>
    </row>
    <row r="759" spans="5:5">
      <c r="E759" s="9"/>
    </row>
    <row r="760" spans="5:5">
      <c r="E760" s="9"/>
    </row>
    <row r="761" spans="5:5">
      <c r="E761" s="9"/>
    </row>
    <row r="762" spans="5:5">
      <c r="E762" s="9"/>
    </row>
    <row r="763" spans="5:5">
      <c r="E763" s="9"/>
    </row>
    <row r="764" spans="5:5">
      <c r="E764" s="9"/>
    </row>
    <row r="765" spans="5:5">
      <c r="E765" s="9"/>
    </row>
    <row r="766" spans="5:5">
      <c r="E766" s="9"/>
    </row>
    <row r="767" spans="5:5">
      <c r="E767" s="9"/>
    </row>
    <row r="768" spans="5:5">
      <c r="E768" s="9"/>
    </row>
    <row r="769" spans="5:5">
      <c r="E769" s="9"/>
    </row>
    <row r="770" spans="5:5">
      <c r="E770" s="9"/>
    </row>
    <row r="771" spans="5:5">
      <c r="E771" s="9"/>
    </row>
    <row r="772" spans="5:5">
      <c r="E772" s="9"/>
    </row>
    <row r="773" spans="5:5">
      <c r="E773" s="9"/>
    </row>
    <row r="774" spans="5:5">
      <c r="E774" s="9"/>
    </row>
    <row r="775" spans="5:5">
      <c r="E775" s="9"/>
    </row>
    <row r="776" spans="5:5">
      <c r="E776" s="9"/>
    </row>
    <row r="777" spans="5:5">
      <c r="E777" s="9"/>
    </row>
    <row r="778" spans="5:5">
      <c r="E778" s="9"/>
    </row>
    <row r="779" spans="5:5">
      <c r="E779" s="9"/>
    </row>
    <row r="780" spans="5:5">
      <c r="E780" s="9"/>
    </row>
    <row r="781" spans="5:5">
      <c r="E781" s="9"/>
    </row>
    <row r="782" spans="5:5">
      <c r="E782" s="9"/>
    </row>
    <row r="783" spans="5:5">
      <c r="E783" s="9"/>
    </row>
    <row r="784" spans="5:5">
      <c r="E784" s="9"/>
    </row>
    <row r="785" spans="5:5">
      <c r="E785" s="9"/>
    </row>
    <row r="786" spans="5:5">
      <c r="E786" s="9"/>
    </row>
    <row r="787" spans="5:5">
      <c r="E787" s="9"/>
    </row>
    <row r="788" spans="5:5">
      <c r="E788" s="9"/>
    </row>
    <row r="789" spans="5:5">
      <c r="E789" s="9"/>
    </row>
    <row r="790" spans="5:5">
      <c r="E790" s="9"/>
    </row>
    <row r="791" spans="5:5">
      <c r="E791" s="9"/>
    </row>
    <row r="792" spans="5:5">
      <c r="E792" s="9"/>
    </row>
    <row r="793" spans="5:5">
      <c r="E793" s="9"/>
    </row>
    <row r="794" spans="5:5">
      <c r="E794" s="9"/>
    </row>
    <row r="795" spans="5:5">
      <c r="E795" s="9"/>
    </row>
    <row r="796" spans="5:5">
      <c r="E796" s="9"/>
    </row>
    <row r="797" spans="5:5">
      <c r="E797" s="9"/>
    </row>
    <row r="798" spans="5:5">
      <c r="E798" s="9"/>
    </row>
    <row r="799" spans="5:5">
      <c r="E799" s="9"/>
    </row>
    <row r="800" spans="5:5">
      <c r="E800" s="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6:F22"/>
  <sheetViews>
    <sheetView workbookViewId="0">
      <selection activeCell="E18" sqref="E18:F22"/>
    </sheetView>
  </sheetViews>
  <sheetFormatPr baseColWidth="10" defaultColWidth="9" defaultRowHeight="23.4"/>
  <cols>
    <col min="5" max="5" width="31.1328125" bestFit="1" customWidth="1"/>
  </cols>
  <sheetData>
    <row r="6" spans="5:6">
      <c r="E6" s="3" t="s">
        <v>22</v>
      </c>
      <c r="F6" s="2">
        <f t="shared" ref="F6:F11" si="0">1*100</f>
        <v>100</v>
      </c>
    </row>
    <row r="7" spans="5:6">
      <c r="E7" s="3" t="s">
        <v>23</v>
      </c>
      <c r="F7" s="2">
        <f t="shared" si="0"/>
        <v>100</v>
      </c>
    </row>
    <row r="8" spans="5:6">
      <c r="E8" s="3" t="s">
        <v>24</v>
      </c>
      <c r="F8" s="2">
        <f t="shared" si="0"/>
        <v>100</v>
      </c>
    </row>
    <row r="9" spans="5:6">
      <c r="E9" s="3" t="s">
        <v>25</v>
      </c>
      <c r="F9" s="2">
        <f t="shared" si="0"/>
        <v>100</v>
      </c>
    </row>
    <row r="10" spans="5:6">
      <c r="E10" s="3" t="s">
        <v>26</v>
      </c>
      <c r="F10" s="2">
        <f t="shared" si="0"/>
        <v>100</v>
      </c>
    </row>
    <row r="11" spans="5:6">
      <c r="E11" s="3" t="s">
        <v>27</v>
      </c>
      <c r="F11" s="2">
        <f t="shared" si="0"/>
        <v>100</v>
      </c>
    </row>
    <row r="12" spans="5:6">
      <c r="E12" s="3" t="s">
        <v>28</v>
      </c>
      <c r="F12" s="2">
        <f>2*100</f>
        <v>200</v>
      </c>
    </row>
    <row r="13" spans="5:6">
      <c r="E13" s="3" t="s">
        <v>29</v>
      </c>
      <c r="F13" s="2">
        <f>1*100</f>
        <v>100</v>
      </c>
    </row>
    <row r="14" spans="5:6">
      <c r="E14" s="3" t="s">
        <v>30</v>
      </c>
      <c r="F14" s="2">
        <f>2*100</f>
        <v>200</v>
      </c>
    </row>
    <row r="15" spans="5:6">
      <c r="E15" s="3" t="s">
        <v>31</v>
      </c>
      <c r="F15" s="2">
        <f>2*100</f>
        <v>200</v>
      </c>
    </row>
    <row r="16" spans="5:6">
      <c r="E16" s="3" t="s">
        <v>32</v>
      </c>
      <c r="F16" s="2">
        <f>2*100</f>
        <v>200</v>
      </c>
    </row>
    <row r="17" spans="5:6">
      <c r="E17" s="3" t="s">
        <v>33</v>
      </c>
      <c r="F17" s="2">
        <f>2*100</f>
        <v>200</v>
      </c>
    </row>
    <row r="18" spans="5:6">
      <c r="E18" s="3" t="s">
        <v>46</v>
      </c>
      <c r="F18" s="2">
        <v>1020</v>
      </c>
    </row>
    <row r="19" spans="5:6">
      <c r="E19" s="3" t="s">
        <v>47</v>
      </c>
      <c r="F19" s="2">
        <f>7*120+30</f>
        <v>870</v>
      </c>
    </row>
    <row r="20" spans="5:6">
      <c r="E20" s="3" t="s">
        <v>48</v>
      </c>
      <c r="F20" s="2">
        <v>720</v>
      </c>
    </row>
    <row r="21" spans="5:6">
      <c r="E21" s="3" t="s">
        <v>49</v>
      </c>
      <c r="F21" s="2">
        <v>480</v>
      </c>
    </row>
    <row r="22" spans="5:6">
      <c r="E22" s="3" t="s">
        <v>50</v>
      </c>
      <c r="F22" s="2">
        <f>720+38</f>
        <v>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25" sqref="A25"/>
    </sheetView>
  </sheetViews>
  <sheetFormatPr baseColWidth="10" defaultColWidth="9" defaultRowHeight="23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2026-04-11T15:09:00Z</dcterms:created>
  <dcterms:modified xsi:type="dcterms:W3CDTF">2026-05-01T16:44:55Z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0726C7C29BC6457D9384354EF6D4C094_12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